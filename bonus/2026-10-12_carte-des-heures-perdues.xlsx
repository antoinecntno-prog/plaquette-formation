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’emploi" sheetId="1" state="visible" r:id="rId1"/>
    <sheet name="Paramètres" sheetId="2" state="visible" r:id="rId2"/>
    <sheet name="Listes" sheetId="3" state="hidden" r:id="rId3"/>
    <sheet name="Équipe" sheetId="4" state="visible" r:id="rId4"/>
    <sheet name="Saisie" sheetId="5" state="visible" r:id="rId5"/>
    <sheet name="Synthè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#,##0.00 €"/>
    <numFmt numFmtId="166" formatCode="0.0"/>
    <numFmt numFmtId="167" formatCode="#,##0 €"/>
    <numFmt numFmtId="168" formatCode="0.00000"/>
  </numFmts>
  <fonts count="11">
    <font>
      <name val="Calibri"/>
      <family val="2"/>
      <color theme="1"/>
      <sz val="11"/>
      <scheme val="minor"/>
    </font>
    <font>
      <name val="Calibri"/>
      <b val="1"/>
      <color rgb="000E1A2B"/>
      <sz val="18"/>
    </font>
    <font>
      <name val="Calibri"/>
      <i val="1"/>
      <color rgb="00526076"/>
      <sz val="11"/>
    </font>
    <font>
      <name val="Calibri"/>
      <b val="1"/>
      <color rgb="0015803D"/>
      <sz val="12"/>
    </font>
    <font>
      <name val="Calibri"/>
      <color rgb="000E1A2B"/>
      <sz val="11"/>
    </font>
    <font>
      <name val="Calibri"/>
      <sz val="11"/>
    </font>
    <font>
      <name val="Calibri"/>
      <b val="1"/>
      <color rgb="000E1A2B"/>
      <sz val="11"/>
    </font>
    <font>
      <name val="Calibri"/>
      <color rgb="00526076"/>
      <sz val="11"/>
    </font>
    <font>
      <b val="1"/>
    </font>
    <font>
      <name val="Calibri"/>
      <b val="1"/>
      <color rgb="00FFFFFF"/>
    </font>
    <font>
      <name val="Calibri"/>
      <b val="1"/>
      <color rgb="000E1A2B"/>
    </font>
  </fonts>
  <fills count="6">
    <fill>
      <patternFill/>
    </fill>
    <fill>
      <patternFill patternType="gray125"/>
    </fill>
    <fill>
      <patternFill patternType="solid">
        <fgColor rgb="00FFF6D6"/>
      </patternFill>
    </fill>
    <fill>
      <patternFill patternType="solid">
        <fgColor rgb="00F6E7CC"/>
      </patternFill>
    </fill>
    <fill>
      <patternFill patternType="solid">
        <fgColor rgb="00EEF2F7"/>
      </patternFill>
    </fill>
    <fill>
      <patternFill patternType="solid">
        <fgColor rgb="000E1A2B"/>
      </patternFill>
    </fill>
  </fills>
  <borders count="2">
    <border>
      <left/>
      <right/>
      <top/>
      <bottom/>
      <diagonal/>
    </border>
    <border>
      <left style="thin">
        <color rgb="00D6E0EC"/>
      </left>
      <right style="thin">
        <color rgb="00D6E0EC"/>
      </right>
      <top style="thin">
        <color rgb="00D6E0EC"/>
      </top>
      <bottom style="thin">
        <color rgb="00D6E0E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4" fontId="5" fillId="2" borderId="1" applyAlignment="1" pivotButton="0" quotePrefix="0" xfId="0">
      <alignment vertical="top" wrapText="1"/>
    </xf>
    <xf numFmtId="1" fontId="5" fillId="2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center" wrapText="1"/>
    </xf>
    <xf numFmtId="1" fontId="5" fillId="4" borderId="1" applyAlignment="1" pivotButton="0" quotePrefix="0" xfId="0">
      <alignment vertical="top" wrapText="1"/>
    </xf>
    <xf numFmtId="166" fontId="5" fillId="4" borderId="1" applyAlignment="1" pivotButton="0" quotePrefix="0" xfId="0">
      <alignment vertical="top" wrapText="1"/>
    </xf>
    <xf numFmtId="9" fontId="5" fillId="3" borderId="1" applyAlignment="1" pivotButton="0" quotePrefix="0" xfId="0">
      <alignment vertical="top" wrapText="1"/>
    </xf>
    <xf numFmtId="167" fontId="5" fillId="4" borderId="1" applyAlignment="1" pivotButton="0" quotePrefix="0" xfId="0">
      <alignment vertical="top" wrapText="1"/>
    </xf>
    <xf numFmtId="168" fontId="5" fillId="4" borderId="1" applyAlignment="1" pivotButton="0" quotePrefix="0" xfId="0">
      <alignment vertical="top" wrapText="1"/>
    </xf>
    <xf numFmtId="1" fontId="10" fillId="4" borderId="1" applyAlignment="1" pivotButton="0" quotePrefix="0" xfId="0">
      <alignment vertical="top" wrapText="1"/>
    </xf>
    <xf numFmtId="166" fontId="10" fillId="4" borderId="1" applyAlignment="1" pivotButton="0" quotePrefix="0" xfId="0">
      <alignment vertical="top" wrapText="1"/>
    </xf>
    <xf numFmtId="167" fontId="1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Carte des heures perdues</t>
        </is>
      </c>
    </row>
    <row r="2">
      <c r="A2" s="2" t="inlineStr">
        <is>
          <t>Le temps que votre équipe passe à écrire, tâche par tâche, avant la journée IA.</t>
        </is>
      </c>
    </row>
    <row r="4">
      <c r="A4" s="3" t="inlineStr">
        <is>
          <t>À quoi sert ce tableur</t>
        </is>
      </c>
    </row>
    <row r="5">
      <c r="A5" s="4" t="inlineStr">
        <is>
          <t>Il montre où partent les heures d’écriture de chaque personne. Antoine Contino s’en sert pour préparer la journée : chacun arrive en sachant quelle tâche il allège en premier.</t>
        </is>
      </c>
    </row>
    <row r="6">
      <c r="A6" s="4" t="inlineStr"/>
    </row>
    <row r="7">
      <c r="A7" s="3" t="inlineStr">
        <is>
          <t>Comment le remplir</t>
        </is>
      </c>
    </row>
    <row r="8">
      <c r="A8" s="4" t="inlineStr">
        <is>
          <t>1. Onglet Paramètres : notez le nom de l’entreprise et la date de la journée. Remplacez le coût de l’heure par votre chiffre si vous le connaissez.</t>
        </is>
      </c>
    </row>
    <row r="9">
      <c r="A9" s="4" t="inlineStr">
        <is>
          <t>2. Onglet Équipe : notez le prénom et le poste de chaque personne qui suit la journée.</t>
        </is>
      </c>
    </row>
    <row r="10">
      <c r="A10" s="4" t="inlineStr">
        <is>
          <t>3. Onglet Saisie : chaque personne décrit une semaine normale, une ligne par tâche d’écriture. Combien de fois par semaine, combien de minutes à chaque fois.</t>
        </is>
      </c>
    </row>
    <row r="11">
      <c r="A11" s="4" t="inlineStr">
        <is>
          <t>4. Envoyez avec le tableur deux documents types par tâche, anonymisés avec la fiche du kit feu vert DSI.</t>
        </is>
      </c>
    </row>
    <row r="12">
      <c r="A12" s="4" t="inlineStr">
        <is>
          <t>5. Antoine Contino lit les documents et remplit la colonne « Part que l’IA peut prendre ».</t>
        </is>
      </c>
    </row>
    <row r="13">
      <c r="A13" s="4" t="inlineStr">
        <is>
          <t>6. L’onglet Synthèse donne les heures à reprendre par personne et pour l’équipe, avec la tâche à traiter le jour J.</t>
        </is>
      </c>
    </row>
    <row r="14">
      <c r="A14" s="4" t="inlineStr"/>
    </row>
    <row r="15">
      <c r="A15" s="3" t="inlineStr">
        <is>
          <t>Exemple de ligne</t>
        </is>
      </c>
    </row>
    <row r="16">
      <c r="A16" s="4" t="inlineStr">
        <is>
          <t>Claire, Devis, « devis de reprise de sellerie », 6 fois par semaine, 25 minutes à chaque fois : 150 minutes par semaine, soit 115 heures par an sur 46 semaines.</t>
        </is>
      </c>
    </row>
    <row r="17">
      <c r="A17" s="4" t="inlineStr"/>
    </row>
    <row r="18">
      <c r="A18" s="3" t="inlineStr">
        <is>
          <t>Règle de confidentialité</t>
        </is>
      </c>
    </row>
    <row r="19">
      <c r="A19" s="4" t="inlineStr">
        <is>
          <t>Aucun nom de client, de fournisseur ou de salarié dans ce tableur ni dans les documents joints. Remplacez-les par des repères : [CLIENT A], [FOURNISSEUR B].</t>
        </is>
      </c>
    </row>
    <row r="20">
      <c r="A20" s="4" t="inlineStr"/>
    </row>
    <row r="21">
      <c r="A21" s="3" t="inlineStr">
        <is>
          <t>Couleurs des cases</t>
        </is>
      </c>
    </row>
    <row r="22">
      <c r="A22" s="5" t="inlineStr">
        <is>
          <t>Case à remplir par la direction : onglets Paramètres et Équipe</t>
        </is>
      </c>
    </row>
    <row r="23">
      <c r="A23" s="5" t="inlineStr">
        <is>
          <t>Case à remplir par chaque personne : onglet Saisie</t>
        </is>
      </c>
    </row>
    <row r="24">
      <c r="A24" s="6" t="inlineStr">
        <is>
          <t>Case remplie par Antoine Contino après lecture des documents</t>
        </is>
      </c>
    </row>
    <row r="25">
      <c r="A25" s="7" t="inlineStr">
        <is>
          <t>Calcul automatique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80" customWidth="1" min="3" max="3"/>
  </cols>
  <sheetData>
    <row r="1">
      <c r="A1" s="1" t="inlineStr">
        <is>
          <t>Paramètres</t>
        </is>
      </c>
    </row>
    <row r="3">
      <c r="A3" s="8" t="inlineStr">
        <is>
          <t>Entreprise</t>
        </is>
      </c>
      <c r="B3" s="5" t="n"/>
    </row>
    <row r="4">
      <c r="A4" s="8" t="inlineStr">
        <is>
          <t>Date de la journée</t>
        </is>
      </c>
      <c r="B4" s="9" t="n"/>
    </row>
    <row r="5">
      <c r="A5" s="8" t="inlineStr">
        <is>
          <t>Semaines travaillées par an</t>
        </is>
      </c>
      <c r="B5" s="10" t="n">
        <v>46</v>
      </c>
      <c r="C5" s="11" t="inlineStr">
        <is>
          <t>Hypothèse de la page de l’offre.</t>
        </is>
      </c>
    </row>
    <row r="6">
      <c r="A6" s="8" t="inlineStr">
        <is>
          <t>Coût de l’heure par défaut (€)</t>
        </is>
      </c>
      <c r="B6" s="12" t="n">
        <v>34.97</v>
      </c>
      <c r="C6" s="11" t="inlineStr">
        <is>
          <t>Coût employeur d’un salaire de 3 000 € net par mois, modèle de calcul de l’URSSAF au 1er juillet 2026 (CDI non-cadre à temps plein). Remplacez par votre chiffre. Le coût de chaque personne se règle dans l’onglet Équipe.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3" t="inlineStr">
        <is>
          <t>Types de tâches</t>
        </is>
      </c>
    </row>
    <row r="2">
      <c r="A2" t="inlineStr">
        <is>
          <t>Devis</t>
        </is>
      </c>
    </row>
    <row r="3">
      <c r="A3" t="inlineStr">
        <is>
          <t>Réponse à un client</t>
        </is>
      </c>
    </row>
    <row r="4">
      <c r="A4" t="inlineStr">
        <is>
          <t>Relance</t>
        </is>
      </c>
    </row>
    <row r="5">
      <c r="A5" t="inlineStr">
        <is>
          <t>Contrat ou avenant</t>
        </is>
      </c>
    </row>
    <row r="6">
      <c r="A6" t="inlineStr">
        <is>
          <t>Compte rendu</t>
        </is>
      </c>
    </row>
    <row r="7">
      <c r="A7" t="inlineStr">
        <is>
          <t>Fiche technique</t>
        </is>
      </c>
    </row>
    <row r="8">
      <c r="A8" t="inlineStr">
        <is>
          <t>Offre commerciale</t>
        </is>
      </c>
    </row>
    <row r="9">
      <c r="A9" t="inlineStr">
        <is>
          <t>Mail interne</t>
        </is>
      </c>
    </row>
    <row r="10">
      <c r="A10" t="inlineStr">
        <is>
          <t>Rapport</t>
        </is>
      </c>
    </row>
    <row r="11">
      <c r="A11" t="inlineStr">
        <is>
          <t>Procédure</t>
        </is>
      </c>
    </row>
    <row r="12">
      <c r="A12" t="inlineStr">
        <is>
          <t>Autre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</cols>
  <sheetData>
    <row r="1">
      <c r="A1" s="1" t="inlineStr">
        <is>
          <t>Équipe</t>
        </is>
      </c>
    </row>
    <row r="2">
      <c r="A2" s="2" t="inlineStr">
        <is>
          <t>Une ligne par personne. Le coût de l’heure est facultatif : sans lui, le tableur prend la valeur des Paramètres.</t>
        </is>
      </c>
    </row>
    <row r="4" ht="34" customHeight="1">
      <c r="A4" s="14" t="inlineStr">
        <is>
          <t>Prénom</t>
        </is>
      </c>
      <c r="B4" s="14" t="inlineStr">
        <is>
          <t>Poste</t>
        </is>
      </c>
      <c r="C4" s="14" t="inlineStr">
        <is>
          <t>Coût de l’heure (€), facultatif</t>
        </is>
      </c>
    </row>
    <row r="5">
      <c r="A5" s="5" t="n"/>
      <c r="B5" s="5" t="n"/>
      <c r="C5" s="12" t="n"/>
    </row>
    <row r="6">
      <c r="A6" s="5" t="n"/>
      <c r="B6" s="5" t="n"/>
      <c r="C6" s="12" t="n"/>
    </row>
    <row r="7">
      <c r="A7" s="5" t="n"/>
      <c r="B7" s="5" t="n"/>
      <c r="C7" s="12" t="n"/>
    </row>
    <row r="8">
      <c r="A8" s="5" t="n"/>
      <c r="B8" s="5" t="n"/>
      <c r="C8" s="12" t="n"/>
    </row>
    <row r="9">
      <c r="A9" s="5" t="n"/>
      <c r="B9" s="5" t="n"/>
      <c r="C9" s="12" t="n"/>
    </row>
    <row r="10">
      <c r="A10" s="5" t="n"/>
      <c r="B10" s="5" t="n"/>
      <c r="C10" s="12" t="n"/>
    </row>
    <row r="11">
      <c r="A11" s="5" t="n"/>
      <c r="B11" s="5" t="n"/>
      <c r="C11" s="12" t="n"/>
    </row>
    <row r="12">
      <c r="A12" s="5" t="n"/>
      <c r="B12" s="5" t="n"/>
      <c r="C12" s="12" t="n"/>
    </row>
    <row r="13">
      <c r="A13" s="5" t="n"/>
      <c r="B13" s="5" t="n"/>
      <c r="C13" s="12" t="n"/>
    </row>
    <row r="14">
      <c r="A14" s="5" t="n"/>
      <c r="B14" s="5" t="n"/>
      <c r="C14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11" customWidth="1" min="4" max="4"/>
    <col width="11" customWidth="1" min="5" max="5"/>
    <col width="12" customWidth="1" min="6" max="6"/>
    <col width="11" customWidth="1" min="7" max="7"/>
    <col width="16" customWidth="1" min="8" max="8"/>
    <col width="14" customWidth="1" min="9" max="9"/>
    <col width="13" customWidth="1" min="10" max="10"/>
    <col width="13" customWidth="1" min="11" max="11"/>
    <col width="34" customWidth="1" min="12" max="12"/>
    <col hidden="1" width="8" customWidth="1" min="13" max="13"/>
  </cols>
  <sheetData>
    <row r="1">
      <c r="A1" s="1" t="inlineStr">
        <is>
          <t>Saisie</t>
        </is>
      </c>
    </row>
    <row r="2">
      <c r="A2" s="2" t="inlineStr">
        <is>
          <t>Une ligne par tâche d’écriture, pour une semaine normale.</t>
        </is>
      </c>
    </row>
    <row r="4" ht="34" customHeight="1">
      <c r="A4" s="14" t="inlineStr">
        <is>
          <t>Personne</t>
        </is>
      </c>
      <c r="B4" s="14" t="inlineStr">
        <is>
          <t>Type de tâche</t>
        </is>
      </c>
      <c r="C4" s="14" t="inlineStr">
        <is>
          <t>Description courte (sans nom)</t>
        </is>
      </c>
      <c r="D4" s="14" t="inlineStr">
        <is>
          <t>Fois par semaine</t>
        </is>
      </c>
      <c r="E4" s="14" t="inlineStr">
        <is>
          <t>Minutes à chaque fois</t>
        </is>
      </c>
      <c r="F4" s="14" t="inlineStr">
        <is>
          <t>Minutes par semaine</t>
        </is>
      </c>
      <c r="G4" s="14" t="inlineStr">
        <is>
          <t>Heures par an</t>
        </is>
      </c>
      <c r="H4" s="14" t="inlineStr">
        <is>
          <t>Part que l’IA peut prendre (Antoine Contino)</t>
        </is>
      </c>
      <c r="I4" s="14" t="inlineStr">
        <is>
          <t>Minutes à reprendre par semaine</t>
        </is>
      </c>
      <c r="J4" s="14" t="inlineStr">
        <is>
          <t>Heures à reprendre par an</t>
        </is>
      </c>
      <c r="K4" s="14" t="inlineStr">
        <is>
          <t>Valeur par an (€)</t>
        </is>
      </c>
      <c r="L4" s="14" t="inlineStr">
        <is>
          <t>Commentaire d’Antoine Contino</t>
        </is>
      </c>
      <c r="M4" s="14" t="inlineStr">
        <is>
          <t>Repère de tri</t>
        </is>
      </c>
    </row>
    <row r="5">
      <c r="A5" s="5" t="n"/>
      <c r="B5" s="5" t="n"/>
      <c r="C5" s="5" t="n"/>
      <c r="D5" s="10" t="n"/>
      <c r="E5" s="10" t="n"/>
      <c r="F5" s="15">
        <f>IF(OR(D5="",E5=""),"",D5*E5)</f>
        <v/>
      </c>
      <c r="G5" s="16">
        <f>IF(F5="","",F5*'Paramètres'!$B$5/60)</f>
        <v/>
      </c>
      <c r="H5" s="17" t="n"/>
      <c r="I5" s="15">
        <f>IF(OR(F5="",H5=""),"",F5*H5)</f>
        <v/>
      </c>
      <c r="J5" s="16">
        <f>IF(OR(G5="",H5=""),"",G5*H5)</f>
        <v/>
      </c>
      <c r="K5" s="18">
        <f>IF(J5="","",J5*IF(IFERROR(VLOOKUP(A5,'Équipe'!$A$5:$C$14,3,FALSE),"")="",'Paramètres'!$B$6,VLOOKUP(A5,'Équipe'!$A$5:$C$14,3,FALSE)))</f>
        <v/>
      </c>
      <c r="L5" s="6" t="n"/>
      <c r="M5" s="19">
        <f>IF(I5="","",I5+ROW()/100000)</f>
        <v/>
      </c>
    </row>
    <row r="6">
      <c r="A6" s="5" t="n"/>
      <c r="B6" s="5" t="n"/>
      <c r="C6" s="5" t="n"/>
      <c r="D6" s="10" t="n"/>
      <c r="E6" s="10" t="n"/>
      <c r="F6" s="15">
        <f>IF(OR(D6="",E6=""),"",D6*E6)</f>
        <v/>
      </c>
      <c r="G6" s="16">
        <f>IF(F6="","",F6*'Paramètres'!$B$5/60)</f>
        <v/>
      </c>
      <c r="H6" s="17" t="n"/>
      <c r="I6" s="15">
        <f>IF(OR(F6="",H6=""),"",F6*H6)</f>
        <v/>
      </c>
      <c r="J6" s="16">
        <f>IF(OR(G6="",H6=""),"",G6*H6)</f>
        <v/>
      </c>
      <c r="K6" s="18">
        <f>IF(J6="","",J6*IF(IFERROR(VLOOKUP(A6,'Équipe'!$A$5:$C$14,3,FALSE),"")="",'Paramètres'!$B$6,VLOOKUP(A6,'Équipe'!$A$5:$C$14,3,FALSE)))</f>
        <v/>
      </c>
      <c r="L6" s="6" t="n"/>
      <c r="M6" s="19">
        <f>IF(I6="","",I6+ROW()/100000)</f>
        <v/>
      </c>
    </row>
    <row r="7">
      <c r="A7" s="5" t="n"/>
      <c r="B7" s="5" t="n"/>
      <c r="C7" s="5" t="n"/>
      <c r="D7" s="10" t="n"/>
      <c r="E7" s="10" t="n"/>
      <c r="F7" s="15">
        <f>IF(OR(D7="",E7=""),"",D7*E7)</f>
        <v/>
      </c>
      <c r="G7" s="16">
        <f>IF(F7="","",F7*'Paramètres'!$B$5/60)</f>
        <v/>
      </c>
      <c r="H7" s="17" t="n"/>
      <c r="I7" s="15">
        <f>IF(OR(F7="",H7=""),"",F7*H7)</f>
        <v/>
      </c>
      <c r="J7" s="16">
        <f>IF(OR(G7="",H7=""),"",G7*H7)</f>
        <v/>
      </c>
      <c r="K7" s="18">
        <f>IF(J7="","",J7*IF(IFERROR(VLOOKUP(A7,'Équipe'!$A$5:$C$14,3,FALSE),"")="",'Paramètres'!$B$6,VLOOKUP(A7,'Équipe'!$A$5:$C$14,3,FALSE)))</f>
        <v/>
      </c>
      <c r="L7" s="6" t="n"/>
      <c r="M7" s="19">
        <f>IF(I7="","",I7+ROW()/100000)</f>
        <v/>
      </c>
    </row>
    <row r="8">
      <c r="A8" s="5" t="n"/>
      <c r="B8" s="5" t="n"/>
      <c r="C8" s="5" t="n"/>
      <c r="D8" s="10" t="n"/>
      <c r="E8" s="10" t="n"/>
      <c r="F8" s="15">
        <f>IF(OR(D8="",E8=""),"",D8*E8)</f>
        <v/>
      </c>
      <c r="G8" s="16">
        <f>IF(F8="","",F8*'Paramètres'!$B$5/60)</f>
        <v/>
      </c>
      <c r="H8" s="17" t="n"/>
      <c r="I8" s="15">
        <f>IF(OR(F8="",H8=""),"",F8*H8)</f>
        <v/>
      </c>
      <c r="J8" s="16">
        <f>IF(OR(G8="",H8=""),"",G8*H8)</f>
        <v/>
      </c>
      <c r="K8" s="18">
        <f>IF(J8="","",J8*IF(IFERROR(VLOOKUP(A8,'Équipe'!$A$5:$C$14,3,FALSE),"")="",'Paramètres'!$B$6,VLOOKUP(A8,'Équipe'!$A$5:$C$14,3,FALSE)))</f>
        <v/>
      </c>
      <c r="L8" s="6" t="n"/>
      <c r="M8" s="19">
        <f>IF(I8="","",I8+ROW()/100000)</f>
        <v/>
      </c>
    </row>
    <row r="9">
      <c r="A9" s="5" t="n"/>
      <c r="B9" s="5" t="n"/>
      <c r="C9" s="5" t="n"/>
      <c r="D9" s="10" t="n"/>
      <c r="E9" s="10" t="n"/>
      <c r="F9" s="15">
        <f>IF(OR(D9="",E9=""),"",D9*E9)</f>
        <v/>
      </c>
      <c r="G9" s="16">
        <f>IF(F9="","",F9*'Paramètres'!$B$5/60)</f>
        <v/>
      </c>
      <c r="H9" s="17" t="n"/>
      <c r="I9" s="15">
        <f>IF(OR(F9="",H9=""),"",F9*H9)</f>
        <v/>
      </c>
      <c r="J9" s="16">
        <f>IF(OR(G9="",H9=""),"",G9*H9)</f>
        <v/>
      </c>
      <c r="K9" s="18">
        <f>IF(J9="","",J9*IF(IFERROR(VLOOKUP(A9,'Équipe'!$A$5:$C$14,3,FALSE),"")="",'Paramètres'!$B$6,VLOOKUP(A9,'Équipe'!$A$5:$C$14,3,FALSE)))</f>
        <v/>
      </c>
      <c r="L9" s="6" t="n"/>
      <c r="M9" s="19">
        <f>IF(I9="","",I9+ROW()/100000)</f>
        <v/>
      </c>
    </row>
    <row r="10">
      <c r="A10" s="5" t="n"/>
      <c r="B10" s="5" t="n"/>
      <c r="C10" s="5" t="n"/>
      <c r="D10" s="10" t="n"/>
      <c r="E10" s="10" t="n"/>
      <c r="F10" s="15">
        <f>IF(OR(D10="",E10=""),"",D10*E10)</f>
        <v/>
      </c>
      <c r="G10" s="16">
        <f>IF(F10="","",F10*'Paramètres'!$B$5/60)</f>
        <v/>
      </c>
      <c r="H10" s="17" t="n"/>
      <c r="I10" s="15">
        <f>IF(OR(F10="",H10=""),"",F10*H10)</f>
        <v/>
      </c>
      <c r="J10" s="16">
        <f>IF(OR(G10="",H10=""),"",G10*H10)</f>
        <v/>
      </c>
      <c r="K10" s="18">
        <f>IF(J10="","",J10*IF(IFERROR(VLOOKUP(A10,'Équipe'!$A$5:$C$14,3,FALSE),"")="",'Paramètres'!$B$6,VLOOKUP(A10,'Équipe'!$A$5:$C$14,3,FALSE)))</f>
        <v/>
      </c>
      <c r="L10" s="6" t="n"/>
      <c r="M10" s="19">
        <f>IF(I10="","",I10+ROW()/100000)</f>
        <v/>
      </c>
    </row>
    <row r="11">
      <c r="A11" s="5" t="n"/>
      <c r="B11" s="5" t="n"/>
      <c r="C11" s="5" t="n"/>
      <c r="D11" s="10" t="n"/>
      <c r="E11" s="10" t="n"/>
      <c r="F11" s="15">
        <f>IF(OR(D11="",E11=""),"",D11*E11)</f>
        <v/>
      </c>
      <c r="G11" s="16">
        <f>IF(F11="","",F11*'Paramètres'!$B$5/60)</f>
        <v/>
      </c>
      <c r="H11" s="17" t="n"/>
      <c r="I11" s="15">
        <f>IF(OR(F11="",H11=""),"",F11*H11)</f>
        <v/>
      </c>
      <c r="J11" s="16">
        <f>IF(OR(G11="",H11=""),"",G11*H11)</f>
        <v/>
      </c>
      <c r="K11" s="18">
        <f>IF(J11="","",J11*IF(IFERROR(VLOOKUP(A11,'Équipe'!$A$5:$C$14,3,FALSE),"")="",'Paramètres'!$B$6,VLOOKUP(A11,'Équipe'!$A$5:$C$14,3,FALSE)))</f>
        <v/>
      </c>
      <c r="L11" s="6" t="n"/>
      <c r="M11" s="19">
        <f>IF(I11="","",I11+ROW()/100000)</f>
        <v/>
      </c>
    </row>
    <row r="12">
      <c r="A12" s="5" t="n"/>
      <c r="B12" s="5" t="n"/>
      <c r="C12" s="5" t="n"/>
      <c r="D12" s="10" t="n"/>
      <c r="E12" s="10" t="n"/>
      <c r="F12" s="15">
        <f>IF(OR(D12="",E12=""),"",D12*E12)</f>
        <v/>
      </c>
      <c r="G12" s="16">
        <f>IF(F12="","",F12*'Paramètres'!$B$5/60)</f>
        <v/>
      </c>
      <c r="H12" s="17" t="n"/>
      <c r="I12" s="15">
        <f>IF(OR(F12="",H12=""),"",F12*H12)</f>
        <v/>
      </c>
      <c r="J12" s="16">
        <f>IF(OR(G12="",H12=""),"",G12*H12)</f>
        <v/>
      </c>
      <c r="K12" s="18">
        <f>IF(J12="","",J12*IF(IFERROR(VLOOKUP(A12,'Équipe'!$A$5:$C$14,3,FALSE),"")="",'Paramètres'!$B$6,VLOOKUP(A12,'Équipe'!$A$5:$C$14,3,FALSE)))</f>
        <v/>
      </c>
      <c r="L12" s="6" t="n"/>
      <c r="M12" s="19">
        <f>IF(I12="","",I12+ROW()/100000)</f>
        <v/>
      </c>
    </row>
    <row r="13">
      <c r="A13" s="5" t="n"/>
      <c r="B13" s="5" t="n"/>
      <c r="C13" s="5" t="n"/>
      <c r="D13" s="10" t="n"/>
      <c r="E13" s="10" t="n"/>
      <c r="F13" s="15">
        <f>IF(OR(D13="",E13=""),"",D13*E13)</f>
        <v/>
      </c>
      <c r="G13" s="16">
        <f>IF(F13="","",F13*'Paramètres'!$B$5/60)</f>
        <v/>
      </c>
      <c r="H13" s="17" t="n"/>
      <c r="I13" s="15">
        <f>IF(OR(F13="",H13=""),"",F13*H13)</f>
        <v/>
      </c>
      <c r="J13" s="16">
        <f>IF(OR(G13="",H13=""),"",G13*H13)</f>
        <v/>
      </c>
      <c r="K13" s="18">
        <f>IF(J13="","",J13*IF(IFERROR(VLOOKUP(A13,'Équipe'!$A$5:$C$14,3,FALSE),"")="",'Paramètres'!$B$6,VLOOKUP(A13,'Équipe'!$A$5:$C$14,3,FALSE)))</f>
        <v/>
      </c>
      <c r="L13" s="6" t="n"/>
      <c r="M13" s="19">
        <f>IF(I13="","",I13+ROW()/100000)</f>
        <v/>
      </c>
    </row>
    <row r="14">
      <c r="A14" s="5" t="n"/>
      <c r="B14" s="5" t="n"/>
      <c r="C14" s="5" t="n"/>
      <c r="D14" s="10" t="n"/>
      <c r="E14" s="10" t="n"/>
      <c r="F14" s="15">
        <f>IF(OR(D14="",E14=""),"",D14*E14)</f>
        <v/>
      </c>
      <c r="G14" s="16">
        <f>IF(F14="","",F14*'Paramètres'!$B$5/60)</f>
        <v/>
      </c>
      <c r="H14" s="17" t="n"/>
      <c r="I14" s="15">
        <f>IF(OR(F14="",H14=""),"",F14*H14)</f>
        <v/>
      </c>
      <c r="J14" s="16">
        <f>IF(OR(G14="",H14=""),"",G14*H14)</f>
        <v/>
      </c>
      <c r="K14" s="18">
        <f>IF(J14="","",J14*IF(IFERROR(VLOOKUP(A14,'Équipe'!$A$5:$C$14,3,FALSE),"")="",'Paramètres'!$B$6,VLOOKUP(A14,'Équipe'!$A$5:$C$14,3,FALSE)))</f>
        <v/>
      </c>
      <c r="L14" s="6" t="n"/>
      <c r="M14" s="19">
        <f>IF(I14="","",I14+ROW()/100000)</f>
        <v/>
      </c>
    </row>
    <row r="15">
      <c r="A15" s="5" t="n"/>
      <c r="B15" s="5" t="n"/>
      <c r="C15" s="5" t="n"/>
      <c r="D15" s="10" t="n"/>
      <c r="E15" s="10" t="n"/>
      <c r="F15" s="15">
        <f>IF(OR(D15="",E15=""),"",D15*E15)</f>
        <v/>
      </c>
      <c r="G15" s="16">
        <f>IF(F15="","",F15*'Paramètres'!$B$5/60)</f>
        <v/>
      </c>
      <c r="H15" s="17" t="n"/>
      <c r="I15" s="15">
        <f>IF(OR(F15="",H15=""),"",F15*H15)</f>
        <v/>
      </c>
      <c r="J15" s="16">
        <f>IF(OR(G15="",H15=""),"",G15*H15)</f>
        <v/>
      </c>
      <c r="K15" s="18">
        <f>IF(J15="","",J15*IF(IFERROR(VLOOKUP(A15,'Équipe'!$A$5:$C$14,3,FALSE),"")="",'Paramètres'!$B$6,VLOOKUP(A15,'Équipe'!$A$5:$C$14,3,FALSE)))</f>
        <v/>
      </c>
      <c r="L15" s="6" t="n"/>
      <c r="M15" s="19">
        <f>IF(I15="","",I15+ROW()/100000)</f>
        <v/>
      </c>
    </row>
    <row r="16">
      <c r="A16" s="5" t="n"/>
      <c r="B16" s="5" t="n"/>
      <c r="C16" s="5" t="n"/>
      <c r="D16" s="10" t="n"/>
      <c r="E16" s="10" t="n"/>
      <c r="F16" s="15">
        <f>IF(OR(D16="",E16=""),"",D16*E16)</f>
        <v/>
      </c>
      <c r="G16" s="16">
        <f>IF(F16="","",F16*'Paramètres'!$B$5/60)</f>
        <v/>
      </c>
      <c r="H16" s="17" t="n"/>
      <c r="I16" s="15">
        <f>IF(OR(F16="",H16=""),"",F16*H16)</f>
        <v/>
      </c>
      <c r="J16" s="16">
        <f>IF(OR(G16="",H16=""),"",G16*H16)</f>
        <v/>
      </c>
      <c r="K16" s="18">
        <f>IF(J16="","",J16*IF(IFERROR(VLOOKUP(A16,'Équipe'!$A$5:$C$14,3,FALSE),"")="",'Paramètres'!$B$6,VLOOKUP(A16,'Équipe'!$A$5:$C$14,3,FALSE)))</f>
        <v/>
      </c>
      <c r="L16" s="6" t="n"/>
      <c r="M16" s="19">
        <f>IF(I16="","",I16+ROW()/100000)</f>
        <v/>
      </c>
    </row>
    <row r="17">
      <c r="A17" s="5" t="n"/>
      <c r="B17" s="5" t="n"/>
      <c r="C17" s="5" t="n"/>
      <c r="D17" s="10" t="n"/>
      <c r="E17" s="10" t="n"/>
      <c r="F17" s="15">
        <f>IF(OR(D17="",E17=""),"",D17*E17)</f>
        <v/>
      </c>
      <c r="G17" s="16">
        <f>IF(F17="","",F17*'Paramètres'!$B$5/60)</f>
        <v/>
      </c>
      <c r="H17" s="17" t="n"/>
      <c r="I17" s="15">
        <f>IF(OR(F17="",H17=""),"",F17*H17)</f>
        <v/>
      </c>
      <c r="J17" s="16">
        <f>IF(OR(G17="",H17=""),"",G17*H17)</f>
        <v/>
      </c>
      <c r="K17" s="18">
        <f>IF(J17="","",J17*IF(IFERROR(VLOOKUP(A17,'Équipe'!$A$5:$C$14,3,FALSE),"")="",'Paramètres'!$B$6,VLOOKUP(A17,'Équipe'!$A$5:$C$14,3,FALSE)))</f>
        <v/>
      </c>
      <c r="L17" s="6" t="n"/>
      <c r="M17" s="19">
        <f>IF(I17="","",I17+ROW()/100000)</f>
        <v/>
      </c>
    </row>
    <row r="18">
      <c r="A18" s="5" t="n"/>
      <c r="B18" s="5" t="n"/>
      <c r="C18" s="5" t="n"/>
      <c r="D18" s="10" t="n"/>
      <c r="E18" s="10" t="n"/>
      <c r="F18" s="15">
        <f>IF(OR(D18="",E18=""),"",D18*E18)</f>
        <v/>
      </c>
      <c r="G18" s="16">
        <f>IF(F18="","",F18*'Paramètres'!$B$5/60)</f>
        <v/>
      </c>
      <c r="H18" s="17" t="n"/>
      <c r="I18" s="15">
        <f>IF(OR(F18="",H18=""),"",F18*H18)</f>
        <v/>
      </c>
      <c r="J18" s="16">
        <f>IF(OR(G18="",H18=""),"",G18*H18)</f>
        <v/>
      </c>
      <c r="K18" s="18">
        <f>IF(J18="","",J18*IF(IFERROR(VLOOKUP(A18,'Équipe'!$A$5:$C$14,3,FALSE),"")="",'Paramètres'!$B$6,VLOOKUP(A18,'Équipe'!$A$5:$C$14,3,FALSE)))</f>
        <v/>
      </c>
      <c r="L18" s="6" t="n"/>
      <c r="M18" s="19">
        <f>IF(I18="","",I18+ROW()/100000)</f>
        <v/>
      </c>
    </row>
    <row r="19">
      <c r="A19" s="5" t="n"/>
      <c r="B19" s="5" t="n"/>
      <c r="C19" s="5" t="n"/>
      <c r="D19" s="10" t="n"/>
      <c r="E19" s="10" t="n"/>
      <c r="F19" s="15">
        <f>IF(OR(D19="",E19=""),"",D19*E19)</f>
        <v/>
      </c>
      <c r="G19" s="16">
        <f>IF(F19="","",F19*'Paramètres'!$B$5/60)</f>
        <v/>
      </c>
      <c r="H19" s="17" t="n"/>
      <c r="I19" s="15">
        <f>IF(OR(F19="",H19=""),"",F19*H19)</f>
        <v/>
      </c>
      <c r="J19" s="16">
        <f>IF(OR(G19="",H19=""),"",G19*H19)</f>
        <v/>
      </c>
      <c r="K19" s="18">
        <f>IF(J19="","",J19*IF(IFERROR(VLOOKUP(A19,'Équipe'!$A$5:$C$14,3,FALSE),"")="",'Paramètres'!$B$6,VLOOKUP(A19,'Équipe'!$A$5:$C$14,3,FALSE)))</f>
        <v/>
      </c>
      <c r="L19" s="6" t="n"/>
      <c r="M19" s="19">
        <f>IF(I19="","",I19+ROW()/100000)</f>
        <v/>
      </c>
    </row>
    <row r="20">
      <c r="A20" s="5" t="n"/>
      <c r="B20" s="5" t="n"/>
      <c r="C20" s="5" t="n"/>
      <c r="D20" s="10" t="n"/>
      <c r="E20" s="10" t="n"/>
      <c r="F20" s="15">
        <f>IF(OR(D20="",E20=""),"",D20*E20)</f>
        <v/>
      </c>
      <c r="G20" s="16">
        <f>IF(F20="","",F20*'Paramètres'!$B$5/60)</f>
        <v/>
      </c>
      <c r="H20" s="17" t="n"/>
      <c r="I20" s="15">
        <f>IF(OR(F20="",H20=""),"",F20*H20)</f>
        <v/>
      </c>
      <c r="J20" s="16">
        <f>IF(OR(G20="",H20=""),"",G20*H20)</f>
        <v/>
      </c>
      <c r="K20" s="18">
        <f>IF(J20="","",J20*IF(IFERROR(VLOOKUP(A20,'Équipe'!$A$5:$C$14,3,FALSE),"")="",'Paramètres'!$B$6,VLOOKUP(A20,'Équipe'!$A$5:$C$14,3,FALSE)))</f>
        <v/>
      </c>
      <c r="L20" s="6" t="n"/>
      <c r="M20" s="19">
        <f>IF(I20="","",I20+ROW()/100000)</f>
        <v/>
      </c>
    </row>
    <row r="21">
      <c r="A21" s="5" t="n"/>
      <c r="B21" s="5" t="n"/>
      <c r="C21" s="5" t="n"/>
      <c r="D21" s="10" t="n"/>
      <c r="E21" s="10" t="n"/>
      <c r="F21" s="15">
        <f>IF(OR(D21="",E21=""),"",D21*E21)</f>
        <v/>
      </c>
      <c r="G21" s="16">
        <f>IF(F21="","",F21*'Paramètres'!$B$5/60)</f>
        <v/>
      </c>
      <c r="H21" s="17" t="n"/>
      <c r="I21" s="15">
        <f>IF(OR(F21="",H21=""),"",F21*H21)</f>
        <v/>
      </c>
      <c r="J21" s="16">
        <f>IF(OR(G21="",H21=""),"",G21*H21)</f>
        <v/>
      </c>
      <c r="K21" s="18">
        <f>IF(J21="","",J21*IF(IFERROR(VLOOKUP(A21,'Équipe'!$A$5:$C$14,3,FALSE),"")="",'Paramètres'!$B$6,VLOOKUP(A21,'Équipe'!$A$5:$C$14,3,FALSE)))</f>
        <v/>
      </c>
      <c r="L21" s="6" t="n"/>
      <c r="M21" s="19">
        <f>IF(I21="","",I21+ROW()/100000)</f>
        <v/>
      </c>
    </row>
    <row r="22">
      <c r="A22" s="5" t="n"/>
      <c r="B22" s="5" t="n"/>
      <c r="C22" s="5" t="n"/>
      <c r="D22" s="10" t="n"/>
      <c r="E22" s="10" t="n"/>
      <c r="F22" s="15">
        <f>IF(OR(D22="",E22=""),"",D22*E22)</f>
        <v/>
      </c>
      <c r="G22" s="16">
        <f>IF(F22="","",F22*'Paramètres'!$B$5/60)</f>
        <v/>
      </c>
      <c r="H22" s="17" t="n"/>
      <c r="I22" s="15">
        <f>IF(OR(F22="",H22=""),"",F22*H22)</f>
        <v/>
      </c>
      <c r="J22" s="16">
        <f>IF(OR(G22="",H22=""),"",G22*H22)</f>
        <v/>
      </c>
      <c r="K22" s="18">
        <f>IF(J22="","",J22*IF(IFERROR(VLOOKUP(A22,'Équipe'!$A$5:$C$14,3,FALSE),"")="",'Paramètres'!$B$6,VLOOKUP(A22,'Équipe'!$A$5:$C$14,3,FALSE)))</f>
        <v/>
      </c>
      <c r="L22" s="6" t="n"/>
      <c r="M22" s="19">
        <f>IF(I22="","",I22+ROW()/100000)</f>
        <v/>
      </c>
    </row>
    <row r="23">
      <c r="A23" s="5" t="n"/>
      <c r="B23" s="5" t="n"/>
      <c r="C23" s="5" t="n"/>
      <c r="D23" s="10" t="n"/>
      <c r="E23" s="10" t="n"/>
      <c r="F23" s="15">
        <f>IF(OR(D23="",E23=""),"",D23*E23)</f>
        <v/>
      </c>
      <c r="G23" s="16">
        <f>IF(F23="","",F23*'Paramètres'!$B$5/60)</f>
        <v/>
      </c>
      <c r="H23" s="17" t="n"/>
      <c r="I23" s="15">
        <f>IF(OR(F23="",H23=""),"",F23*H23)</f>
        <v/>
      </c>
      <c r="J23" s="16">
        <f>IF(OR(G23="",H23=""),"",G23*H23)</f>
        <v/>
      </c>
      <c r="K23" s="18">
        <f>IF(J23="","",J23*IF(IFERROR(VLOOKUP(A23,'Équipe'!$A$5:$C$14,3,FALSE),"")="",'Paramètres'!$B$6,VLOOKUP(A23,'Équipe'!$A$5:$C$14,3,FALSE)))</f>
        <v/>
      </c>
      <c r="L23" s="6" t="n"/>
      <c r="M23" s="19">
        <f>IF(I23="","",I23+ROW()/100000)</f>
        <v/>
      </c>
    </row>
    <row r="24">
      <c r="A24" s="5" t="n"/>
      <c r="B24" s="5" t="n"/>
      <c r="C24" s="5" t="n"/>
      <c r="D24" s="10" t="n"/>
      <c r="E24" s="10" t="n"/>
      <c r="F24" s="15">
        <f>IF(OR(D24="",E24=""),"",D24*E24)</f>
        <v/>
      </c>
      <c r="G24" s="16">
        <f>IF(F24="","",F24*'Paramètres'!$B$5/60)</f>
        <v/>
      </c>
      <c r="H24" s="17" t="n"/>
      <c r="I24" s="15">
        <f>IF(OR(F24="",H24=""),"",F24*H24)</f>
        <v/>
      </c>
      <c r="J24" s="16">
        <f>IF(OR(G24="",H24=""),"",G24*H24)</f>
        <v/>
      </c>
      <c r="K24" s="18">
        <f>IF(J24="","",J24*IF(IFERROR(VLOOKUP(A24,'Équipe'!$A$5:$C$14,3,FALSE),"")="",'Paramètres'!$B$6,VLOOKUP(A24,'Équipe'!$A$5:$C$14,3,FALSE)))</f>
        <v/>
      </c>
      <c r="L24" s="6" t="n"/>
      <c r="M24" s="19">
        <f>IF(I24="","",I24+ROW()/100000)</f>
        <v/>
      </c>
    </row>
    <row r="25">
      <c r="A25" s="5" t="n"/>
      <c r="B25" s="5" t="n"/>
      <c r="C25" s="5" t="n"/>
      <c r="D25" s="10" t="n"/>
      <c r="E25" s="10" t="n"/>
      <c r="F25" s="15">
        <f>IF(OR(D25="",E25=""),"",D25*E25)</f>
        <v/>
      </c>
      <c r="G25" s="16">
        <f>IF(F25="","",F25*'Paramètres'!$B$5/60)</f>
        <v/>
      </c>
      <c r="H25" s="17" t="n"/>
      <c r="I25" s="15">
        <f>IF(OR(F25="",H25=""),"",F25*H25)</f>
        <v/>
      </c>
      <c r="J25" s="16">
        <f>IF(OR(G25="",H25=""),"",G25*H25)</f>
        <v/>
      </c>
      <c r="K25" s="18">
        <f>IF(J25="","",J25*IF(IFERROR(VLOOKUP(A25,'Équipe'!$A$5:$C$14,3,FALSE),"")="",'Paramètres'!$B$6,VLOOKUP(A25,'Équipe'!$A$5:$C$14,3,FALSE)))</f>
        <v/>
      </c>
      <c r="L25" s="6" t="n"/>
      <c r="M25" s="19">
        <f>IF(I25="","",I25+ROW()/100000)</f>
        <v/>
      </c>
    </row>
    <row r="26">
      <c r="A26" s="5" t="n"/>
      <c r="B26" s="5" t="n"/>
      <c r="C26" s="5" t="n"/>
      <c r="D26" s="10" t="n"/>
      <c r="E26" s="10" t="n"/>
      <c r="F26" s="15">
        <f>IF(OR(D26="",E26=""),"",D26*E26)</f>
        <v/>
      </c>
      <c r="G26" s="16">
        <f>IF(F26="","",F26*'Paramètres'!$B$5/60)</f>
        <v/>
      </c>
      <c r="H26" s="17" t="n"/>
      <c r="I26" s="15">
        <f>IF(OR(F26="",H26=""),"",F26*H26)</f>
        <v/>
      </c>
      <c r="J26" s="16">
        <f>IF(OR(G26="",H26=""),"",G26*H26)</f>
        <v/>
      </c>
      <c r="K26" s="18">
        <f>IF(J26="","",J26*IF(IFERROR(VLOOKUP(A26,'Équipe'!$A$5:$C$14,3,FALSE),"")="",'Paramètres'!$B$6,VLOOKUP(A26,'Équipe'!$A$5:$C$14,3,FALSE)))</f>
        <v/>
      </c>
      <c r="L26" s="6" t="n"/>
      <c r="M26" s="19">
        <f>IF(I26="","",I26+ROW()/100000)</f>
        <v/>
      </c>
    </row>
    <row r="27">
      <c r="A27" s="5" t="n"/>
      <c r="B27" s="5" t="n"/>
      <c r="C27" s="5" t="n"/>
      <c r="D27" s="10" t="n"/>
      <c r="E27" s="10" t="n"/>
      <c r="F27" s="15">
        <f>IF(OR(D27="",E27=""),"",D27*E27)</f>
        <v/>
      </c>
      <c r="G27" s="16">
        <f>IF(F27="","",F27*'Paramètres'!$B$5/60)</f>
        <v/>
      </c>
      <c r="H27" s="17" t="n"/>
      <c r="I27" s="15">
        <f>IF(OR(F27="",H27=""),"",F27*H27)</f>
        <v/>
      </c>
      <c r="J27" s="16">
        <f>IF(OR(G27="",H27=""),"",G27*H27)</f>
        <v/>
      </c>
      <c r="K27" s="18">
        <f>IF(J27="","",J27*IF(IFERROR(VLOOKUP(A27,'Équipe'!$A$5:$C$14,3,FALSE),"")="",'Paramètres'!$B$6,VLOOKUP(A27,'Équipe'!$A$5:$C$14,3,FALSE)))</f>
        <v/>
      </c>
      <c r="L27" s="6" t="n"/>
      <c r="M27" s="19">
        <f>IF(I27="","",I27+ROW()/100000)</f>
        <v/>
      </c>
    </row>
    <row r="28">
      <c r="A28" s="5" t="n"/>
      <c r="B28" s="5" t="n"/>
      <c r="C28" s="5" t="n"/>
      <c r="D28" s="10" t="n"/>
      <c r="E28" s="10" t="n"/>
      <c r="F28" s="15">
        <f>IF(OR(D28="",E28=""),"",D28*E28)</f>
        <v/>
      </c>
      <c r="G28" s="16">
        <f>IF(F28="","",F28*'Paramètres'!$B$5/60)</f>
        <v/>
      </c>
      <c r="H28" s="17" t="n"/>
      <c r="I28" s="15">
        <f>IF(OR(F28="",H28=""),"",F28*H28)</f>
        <v/>
      </c>
      <c r="J28" s="16">
        <f>IF(OR(G28="",H28=""),"",G28*H28)</f>
        <v/>
      </c>
      <c r="K28" s="18">
        <f>IF(J28="","",J28*IF(IFERROR(VLOOKUP(A28,'Équipe'!$A$5:$C$14,3,FALSE),"")="",'Paramètres'!$B$6,VLOOKUP(A28,'Équipe'!$A$5:$C$14,3,FALSE)))</f>
        <v/>
      </c>
      <c r="L28" s="6" t="n"/>
      <c r="M28" s="19">
        <f>IF(I28="","",I28+ROW()/100000)</f>
        <v/>
      </c>
    </row>
    <row r="29">
      <c r="A29" s="5" t="n"/>
      <c r="B29" s="5" t="n"/>
      <c r="C29" s="5" t="n"/>
      <c r="D29" s="10" t="n"/>
      <c r="E29" s="10" t="n"/>
      <c r="F29" s="15">
        <f>IF(OR(D29="",E29=""),"",D29*E29)</f>
        <v/>
      </c>
      <c r="G29" s="16">
        <f>IF(F29="","",F29*'Paramètres'!$B$5/60)</f>
        <v/>
      </c>
      <c r="H29" s="17" t="n"/>
      <c r="I29" s="15">
        <f>IF(OR(F29="",H29=""),"",F29*H29)</f>
        <v/>
      </c>
      <c r="J29" s="16">
        <f>IF(OR(G29="",H29=""),"",G29*H29)</f>
        <v/>
      </c>
      <c r="K29" s="18">
        <f>IF(J29="","",J29*IF(IFERROR(VLOOKUP(A29,'Équipe'!$A$5:$C$14,3,FALSE),"")="",'Paramètres'!$B$6,VLOOKUP(A29,'Équipe'!$A$5:$C$14,3,FALSE)))</f>
        <v/>
      </c>
      <c r="L29" s="6" t="n"/>
      <c r="M29" s="19">
        <f>IF(I29="","",I29+ROW()/100000)</f>
        <v/>
      </c>
    </row>
    <row r="30">
      <c r="A30" s="5" t="n"/>
      <c r="B30" s="5" t="n"/>
      <c r="C30" s="5" t="n"/>
      <c r="D30" s="10" t="n"/>
      <c r="E30" s="10" t="n"/>
      <c r="F30" s="15">
        <f>IF(OR(D30="",E30=""),"",D30*E30)</f>
        <v/>
      </c>
      <c r="G30" s="16">
        <f>IF(F30="","",F30*'Paramètres'!$B$5/60)</f>
        <v/>
      </c>
      <c r="H30" s="17" t="n"/>
      <c r="I30" s="15">
        <f>IF(OR(F30="",H30=""),"",F30*H30)</f>
        <v/>
      </c>
      <c r="J30" s="16">
        <f>IF(OR(G30="",H30=""),"",G30*H30)</f>
        <v/>
      </c>
      <c r="K30" s="18">
        <f>IF(J30="","",J30*IF(IFERROR(VLOOKUP(A30,'Équipe'!$A$5:$C$14,3,FALSE),"")="",'Paramètres'!$B$6,VLOOKUP(A30,'Équipe'!$A$5:$C$14,3,FALSE)))</f>
        <v/>
      </c>
      <c r="L30" s="6" t="n"/>
      <c r="M30" s="19">
        <f>IF(I30="","",I30+ROW()/100000)</f>
        <v/>
      </c>
    </row>
    <row r="31">
      <c r="A31" s="5" t="n"/>
      <c r="B31" s="5" t="n"/>
      <c r="C31" s="5" t="n"/>
      <c r="D31" s="10" t="n"/>
      <c r="E31" s="10" t="n"/>
      <c r="F31" s="15">
        <f>IF(OR(D31="",E31=""),"",D31*E31)</f>
        <v/>
      </c>
      <c r="G31" s="16">
        <f>IF(F31="","",F31*'Paramètres'!$B$5/60)</f>
        <v/>
      </c>
      <c r="H31" s="17" t="n"/>
      <c r="I31" s="15">
        <f>IF(OR(F31="",H31=""),"",F31*H31)</f>
        <v/>
      </c>
      <c r="J31" s="16">
        <f>IF(OR(G31="",H31=""),"",G31*H31)</f>
        <v/>
      </c>
      <c r="K31" s="18">
        <f>IF(J31="","",J31*IF(IFERROR(VLOOKUP(A31,'Équipe'!$A$5:$C$14,3,FALSE),"")="",'Paramètres'!$B$6,VLOOKUP(A31,'Équipe'!$A$5:$C$14,3,FALSE)))</f>
        <v/>
      </c>
      <c r="L31" s="6" t="n"/>
      <c r="M31" s="19">
        <f>IF(I31="","",I31+ROW()/100000)</f>
        <v/>
      </c>
    </row>
    <row r="32">
      <c r="A32" s="5" t="n"/>
      <c r="B32" s="5" t="n"/>
      <c r="C32" s="5" t="n"/>
      <c r="D32" s="10" t="n"/>
      <c r="E32" s="10" t="n"/>
      <c r="F32" s="15">
        <f>IF(OR(D32="",E32=""),"",D32*E32)</f>
        <v/>
      </c>
      <c r="G32" s="16">
        <f>IF(F32="","",F32*'Paramètres'!$B$5/60)</f>
        <v/>
      </c>
      <c r="H32" s="17" t="n"/>
      <c r="I32" s="15">
        <f>IF(OR(F32="",H32=""),"",F32*H32)</f>
        <v/>
      </c>
      <c r="J32" s="16">
        <f>IF(OR(G32="",H32=""),"",G32*H32)</f>
        <v/>
      </c>
      <c r="K32" s="18">
        <f>IF(J32="","",J32*IF(IFERROR(VLOOKUP(A32,'Équipe'!$A$5:$C$14,3,FALSE),"")="",'Paramètres'!$B$6,VLOOKUP(A32,'Équipe'!$A$5:$C$14,3,FALSE)))</f>
        <v/>
      </c>
      <c r="L32" s="6" t="n"/>
      <c r="M32" s="19">
        <f>IF(I32="","",I32+ROW()/100000)</f>
        <v/>
      </c>
    </row>
    <row r="33">
      <c r="A33" s="5" t="n"/>
      <c r="B33" s="5" t="n"/>
      <c r="C33" s="5" t="n"/>
      <c r="D33" s="10" t="n"/>
      <c r="E33" s="10" t="n"/>
      <c r="F33" s="15">
        <f>IF(OR(D33="",E33=""),"",D33*E33)</f>
        <v/>
      </c>
      <c r="G33" s="16">
        <f>IF(F33="","",F33*'Paramètres'!$B$5/60)</f>
        <v/>
      </c>
      <c r="H33" s="17" t="n"/>
      <c r="I33" s="15">
        <f>IF(OR(F33="",H33=""),"",F33*H33)</f>
        <v/>
      </c>
      <c r="J33" s="16">
        <f>IF(OR(G33="",H33=""),"",G33*H33)</f>
        <v/>
      </c>
      <c r="K33" s="18">
        <f>IF(J33="","",J33*IF(IFERROR(VLOOKUP(A33,'Équipe'!$A$5:$C$14,3,FALSE),"")="",'Paramètres'!$B$6,VLOOKUP(A33,'Équipe'!$A$5:$C$14,3,FALSE)))</f>
        <v/>
      </c>
      <c r="L33" s="6" t="n"/>
      <c r="M33" s="19">
        <f>IF(I33="","",I33+ROW()/100000)</f>
        <v/>
      </c>
    </row>
    <row r="34">
      <c r="A34" s="5" t="n"/>
      <c r="B34" s="5" t="n"/>
      <c r="C34" s="5" t="n"/>
      <c r="D34" s="10" t="n"/>
      <c r="E34" s="10" t="n"/>
      <c r="F34" s="15">
        <f>IF(OR(D34="",E34=""),"",D34*E34)</f>
        <v/>
      </c>
      <c r="G34" s="16">
        <f>IF(F34="","",F34*'Paramètres'!$B$5/60)</f>
        <v/>
      </c>
      <c r="H34" s="17" t="n"/>
      <c r="I34" s="15">
        <f>IF(OR(F34="",H34=""),"",F34*H34)</f>
        <v/>
      </c>
      <c r="J34" s="16">
        <f>IF(OR(G34="",H34=""),"",G34*H34)</f>
        <v/>
      </c>
      <c r="K34" s="18">
        <f>IF(J34="","",J34*IF(IFERROR(VLOOKUP(A34,'Équipe'!$A$5:$C$14,3,FALSE),"")="",'Paramètres'!$B$6,VLOOKUP(A34,'Équipe'!$A$5:$C$14,3,FALSE)))</f>
        <v/>
      </c>
      <c r="L34" s="6" t="n"/>
      <c r="M34" s="19">
        <f>IF(I34="","",I34+ROW()/100000)</f>
        <v/>
      </c>
    </row>
    <row r="35">
      <c r="A35" s="5" t="n"/>
      <c r="B35" s="5" t="n"/>
      <c r="C35" s="5" t="n"/>
      <c r="D35" s="10" t="n"/>
      <c r="E35" s="10" t="n"/>
      <c r="F35" s="15">
        <f>IF(OR(D35="",E35=""),"",D35*E35)</f>
        <v/>
      </c>
      <c r="G35" s="16">
        <f>IF(F35="","",F35*'Paramètres'!$B$5/60)</f>
        <v/>
      </c>
      <c r="H35" s="17" t="n"/>
      <c r="I35" s="15">
        <f>IF(OR(F35="",H35=""),"",F35*H35)</f>
        <v/>
      </c>
      <c r="J35" s="16">
        <f>IF(OR(G35="",H35=""),"",G35*H35)</f>
        <v/>
      </c>
      <c r="K35" s="18">
        <f>IF(J35="","",J35*IF(IFERROR(VLOOKUP(A35,'Équipe'!$A$5:$C$14,3,FALSE),"")="",'Paramètres'!$B$6,VLOOKUP(A35,'Équipe'!$A$5:$C$14,3,FALSE)))</f>
        <v/>
      </c>
      <c r="L35" s="6" t="n"/>
      <c r="M35" s="19">
        <f>IF(I35="","",I35+ROW()/100000)</f>
        <v/>
      </c>
    </row>
    <row r="36">
      <c r="A36" s="5" t="n"/>
      <c r="B36" s="5" t="n"/>
      <c r="C36" s="5" t="n"/>
      <c r="D36" s="10" t="n"/>
      <c r="E36" s="10" t="n"/>
      <c r="F36" s="15">
        <f>IF(OR(D36="",E36=""),"",D36*E36)</f>
        <v/>
      </c>
      <c r="G36" s="16">
        <f>IF(F36="","",F36*'Paramètres'!$B$5/60)</f>
        <v/>
      </c>
      <c r="H36" s="17" t="n"/>
      <c r="I36" s="15">
        <f>IF(OR(F36="",H36=""),"",F36*H36)</f>
        <v/>
      </c>
      <c r="J36" s="16">
        <f>IF(OR(G36="",H36=""),"",G36*H36)</f>
        <v/>
      </c>
      <c r="K36" s="18">
        <f>IF(J36="","",J36*IF(IFERROR(VLOOKUP(A36,'Équipe'!$A$5:$C$14,3,FALSE),"")="",'Paramètres'!$B$6,VLOOKUP(A36,'Équipe'!$A$5:$C$14,3,FALSE)))</f>
        <v/>
      </c>
      <c r="L36" s="6" t="n"/>
      <c r="M36" s="19">
        <f>IF(I36="","",I36+ROW()/100000)</f>
        <v/>
      </c>
    </row>
    <row r="37">
      <c r="A37" s="5" t="n"/>
      <c r="B37" s="5" t="n"/>
      <c r="C37" s="5" t="n"/>
      <c r="D37" s="10" t="n"/>
      <c r="E37" s="10" t="n"/>
      <c r="F37" s="15">
        <f>IF(OR(D37="",E37=""),"",D37*E37)</f>
        <v/>
      </c>
      <c r="G37" s="16">
        <f>IF(F37="","",F37*'Paramètres'!$B$5/60)</f>
        <v/>
      </c>
      <c r="H37" s="17" t="n"/>
      <c r="I37" s="15">
        <f>IF(OR(F37="",H37=""),"",F37*H37)</f>
        <v/>
      </c>
      <c r="J37" s="16">
        <f>IF(OR(G37="",H37=""),"",G37*H37)</f>
        <v/>
      </c>
      <c r="K37" s="18">
        <f>IF(J37="","",J37*IF(IFERROR(VLOOKUP(A37,'Équipe'!$A$5:$C$14,3,FALSE),"")="",'Paramètres'!$B$6,VLOOKUP(A37,'Équipe'!$A$5:$C$14,3,FALSE)))</f>
        <v/>
      </c>
      <c r="L37" s="6" t="n"/>
      <c r="M37" s="19">
        <f>IF(I37="","",I37+ROW()/100000)</f>
        <v/>
      </c>
    </row>
    <row r="38">
      <c r="A38" s="5" t="n"/>
      <c r="B38" s="5" t="n"/>
      <c r="C38" s="5" t="n"/>
      <c r="D38" s="10" t="n"/>
      <c r="E38" s="10" t="n"/>
      <c r="F38" s="15">
        <f>IF(OR(D38="",E38=""),"",D38*E38)</f>
        <v/>
      </c>
      <c r="G38" s="16">
        <f>IF(F38="","",F38*'Paramètres'!$B$5/60)</f>
        <v/>
      </c>
      <c r="H38" s="17" t="n"/>
      <c r="I38" s="15">
        <f>IF(OR(F38="",H38=""),"",F38*H38)</f>
        <v/>
      </c>
      <c r="J38" s="16">
        <f>IF(OR(G38="",H38=""),"",G38*H38)</f>
        <v/>
      </c>
      <c r="K38" s="18">
        <f>IF(J38="","",J38*IF(IFERROR(VLOOKUP(A38,'Équipe'!$A$5:$C$14,3,FALSE),"")="",'Paramètres'!$B$6,VLOOKUP(A38,'Équipe'!$A$5:$C$14,3,FALSE)))</f>
        <v/>
      </c>
      <c r="L38" s="6" t="n"/>
      <c r="M38" s="19">
        <f>IF(I38="","",I38+ROW()/100000)</f>
        <v/>
      </c>
    </row>
    <row r="39">
      <c r="A39" s="5" t="n"/>
      <c r="B39" s="5" t="n"/>
      <c r="C39" s="5" t="n"/>
      <c r="D39" s="10" t="n"/>
      <c r="E39" s="10" t="n"/>
      <c r="F39" s="15">
        <f>IF(OR(D39="",E39=""),"",D39*E39)</f>
        <v/>
      </c>
      <c r="G39" s="16">
        <f>IF(F39="","",F39*'Paramètres'!$B$5/60)</f>
        <v/>
      </c>
      <c r="H39" s="17" t="n"/>
      <c r="I39" s="15">
        <f>IF(OR(F39="",H39=""),"",F39*H39)</f>
        <v/>
      </c>
      <c r="J39" s="16">
        <f>IF(OR(G39="",H39=""),"",G39*H39)</f>
        <v/>
      </c>
      <c r="K39" s="18">
        <f>IF(J39="","",J39*IF(IFERROR(VLOOKUP(A39,'Équipe'!$A$5:$C$14,3,FALSE),"")="",'Paramètres'!$B$6,VLOOKUP(A39,'Équipe'!$A$5:$C$14,3,FALSE)))</f>
        <v/>
      </c>
      <c r="L39" s="6" t="n"/>
      <c r="M39" s="19">
        <f>IF(I39="","",I39+ROW()/100000)</f>
        <v/>
      </c>
    </row>
    <row r="40">
      <c r="A40" s="5" t="n"/>
      <c r="B40" s="5" t="n"/>
      <c r="C40" s="5" t="n"/>
      <c r="D40" s="10" t="n"/>
      <c r="E40" s="10" t="n"/>
      <c r="F40" s="15">
        <f>IF(OR(D40="",E40=""),"",D40*E40)</f>
        <v/>
      </c>
      <c r="G40" s="16">
        <f>IF(F40="","",F40*'Paramètres'!$B$5/60)</f>
        <v/>
      </c>
      <c r="H40" s="17" t="n"/>
      <c r="I40" s="15">
        <f>IF(OR(F40="",H40=""),"",F40*H40)</f>
        <v/>
      </c>
      <c r="J40" s="16">
        <f>IF(OR(G40="",H40=""),"",G40*H40)</f>
        <v/>
      </c>
      <c r="K40" s="18">
        <f>IF(J40="","",J40*IF(IFERROR(VLOOKUP(A40,'Équipe'!$A$5:$C$14,3,FALSE),"")="",'Paramètres'!$B$6,VLOOKUP(A40,'Équipe'!$A$5:$C$14,3,FALSE)))</f>
        <v/>
      </c>
      <c r="L40" s="6" t="n"/>
      <c r="M40" s="19">
        <f>IF(I40="","",I40+ROW()/100000)</f>
        <v/>
      </c>
    </row>
    <row r="41">
      <c r="A41" s="5" t="n"/>
      <c r="B41" s="5" t="n"/>
      <c r="C41" s="5" t="n"/>
      <c r="D41" s="10" t="n"/>
      <c r="E41" s="10" t="n"/>
      <c r="F41" s="15">
        <f>IF(OR(D41="",E41=""),"",D41*E41)</f>
        <v/>
      </c>
      <c r="G41" s="16">
        <f>IF(F41="","",F41*'Paramètres'!$B$5/60)</f>
        <v/>
      </c>
      <c r="H41" s="17" t="n"/>
      <c r="I41" s="15">
        <f>IF(OR(F41="",H41=""),"",F41*H41)</f>
        <v/>
      </c>
      <c r="J41" s="16">
        <f>IF(OR(G41="",H41=""),"",G41*H41)</f>
        <v/>
      </c>
      <c r="K41" s="18">
        <f>IF(J41="","",J41*IF(IFERROR(VLOOKUP(A41,'Équipe'!$A$5:$C$14,3,FALSE),"")="",'Paramètres'!$B$6,VLOOKUP(A41,'Équipe'!$A$5:$C$14,3,FALSE)))</f>
        <v/>
      </c>
      <c r="L41" s="6" t="n"/>
      <c r="M41" s="19">
        <f>IF(I41="","",I41+ROW()/100000)</f>
        <v/>
      </c>
    </row>
    <row r="42">
      <c r="A42" s="5" t="n"/>
      <c r="B42" s="5" t="n"/>
      <c r="C42" s="5" t="n"/>
      <c r="D42" s="10" t="n"/>
      <c r="E42" s="10" t="n"/>
      <c r="F42" s="15">
        <f>IF(OR(D42="",E42=""),"",D42*E42)</f>
        <v/>
      </c>
      <c r="G42" s="16">
        <f>IF(F42="","",F42*'Paramètres'!$B$5/60)</f>
        <v/>
      </c>
      <c r="H42" s="17" t="n"/>
      <c r="I42" s="15">
        <f>IF(OR(F42="",H42=""),"",F42*H42)</f>
        <v/>
      </c>
      <c r="J42" s="16">
        <f>IF(OR(G42="",H42=""),"",G42*H42)</f>
        <v/>
      </c>
      <c r="K42" s="18">
        <f>IF(J42="","",J42*IF(IFERROR(VLOOKUP(A42,'Équipe'!$A$5:$C$14,3,FALSE),"")="",'Paramètres'!$B$6,VLOOKUP(A42,'Équipe'!$A$5:$C$14,3,FALSE)))</f>
        <v/>
      </c>
      <c r="L42" s="6" t="n"/>
      <c r="M42" s="19">
        <f>IF(I42="","",I42+ROW()/100000)</f>
        <v/>
      </c>
    </row>
    <row r="43">
      <c r="A43" s="5" t="n"/>
      <c r="B43" s="5" t="n"/>
      <c r="C43" s="5" t="n"/>
      <c r="D43" s="10" t="n"/>
      <c r="E43" s="10" t="n"/>
      <c r="F43" s="15">
        <f>IF(OR(D43="",E43=""),"",D43*E43)</f>
        <v/>
      </c>
      <c r="G43" s="16">
        <f>IF(F43="","",F43*'Paramètres'!$B$5/60)</f>
        <v/>
      </c>
      <c r="H43" s="17" t="n"/>
      <c r="I43" s="15">
        <f>IF(OR(F43="",H43=""),"",F43*H43)</f>
        <v/>
      </c>
      <c r="J43" s="16">
        <f>IF(OR(G43="",H43=""),"",G43*H43)</f>
        <v/>
      </c>
      <c r="K43" s="18">
        <f>IF(J43="","",J43*IF(IFERROR(VLOOKUP(A43,'Équipe'!$A$5:$C$14,3,FALSE),"")="",'Paramètres'!$B$6,VLOOKUP(A43,'Équipe'!$A$5:$C$14,3,FALSE)))</f>
        <v/>
      </c>
      <c r="L43" s="6" t="n"/>
      <c r="M43" s="19">
        <f>IF(I43="","",I43+ROW()/100000)</f>
        <v/>
      </c>
    </row>
    <row r="44">
      <c r="A44" s="5" t="n"/>
      <c r="B44" s="5" t="n"/>
      <c r="C44" s="5" t="n"/>
      <c r="D44" s="10" t="n"/>
      <c r="E44" s="10" t="n"/>
      <c r="F44" s="15">
        <f>IF(OR(D44="",E44=""),"",D44*E44)</f>
        <v/>
      </c>
      <c r="G44" s="16">
        <f>IF(F44="","",F44*'Paramètres'!$B$5/60)</f>
        <v/>
      </c>
      <c r="H44" s="17" t="n"/>
      <c r="I44" s="15">
        <f>IF(OR(F44="",H44=""),"",F44*H44)</f>
        <v/>
      </c>
      <c r="J44" s="16">
        <f>IF(OR(G44="",H44=""),"",G44*H44)</f>
        <v/>
      </c>
      <c r="K44" s="18">
        <f>IF(J44="","",J44*IF(IFERROR(VLOOKUP(A44,'Équipe'!$A$5:$C$14,3,FALSE),"")="",'Paramètres'!$B$6,VLOOKUP(A44,'Équipe'!$A$5:$C$14,3,FALSE)))</f>
        <v/>
      </c>
      <c r="L44" s="6" t="n"/>
      <c r="M44" s="19">
        <f>IF(I44="","",I44+ROW()/100000)</f>
        <v/>
      </c>
    </row>
    <row r="45">
      <c r="A45" s="5" t="n"/>
      <c r="B45" s="5" t="n"/>
      <c r="C45" s="5" t="n"/>
      <c r="D45" s="10" t="n"/>
      <c r="E45" s="10" t="n"/>
      <c r="F45" s="15">
        <f>IF(OR(D45="",E45=""),"",D45*E45)</f>
        <v/>
      </c>
      <c r="G45" s="16">
        <f>IF(F45="","",F45*'Paramètres'!$B$5/60)</f>
        <v/>
      </c>
      <c r="H45" s="17" t="n"/>
      <c r="I45" s="15">
        <f>IF(OR(F45="",H45=""),"",F45*H45)</f>
        <v/>
      </c>
      <c r="J45" s="16">
        <f>IF(OR(G45="",H45=""),"",G45*H45)</f>
        <v/>
      </c>
      <c r="K45" s="18">
        <f>IF(J45="","",J45*IF(IFERROR(VLOOKUP(A45,'Équipe'!$A$5:$C$14,3,FALSE),"")="",'Paramètres'!$B$6,VLOOKUP(A45,'Équipe'!$A$5:$C$14,3,FALSE)))</f>
        <v/>
      </c>
      <c r="L45" s="6" t="n"/>
      <c r="M45" s="19">
        <f>IF(I45="","",I45+ROW()/100000)</f>
        <v/>
      </c>
    </row>
    <row r="46">
      <c r="A46" s="5" t="n"/>
      <c r="B46" s="5" t="n"/>
      <c r="C46" s="5" t="n"/>
      <c r="D46" s="10" t="n"/>
      <c r="E46" s="10" t="n"/>
      <c r="F46" s="15">
        <f>IF(OR(D46="",E46=""),"",D46*E46)</f>
        <v/>
      </c>
      <c r="G46" s="16">
        <f>IF(F46="","",F46*'Paramètres'!$B$5/60)</f>
        <v/>
      </c>
      <c r="H46" s="17" t="n"/>
      <c r="I46" s="15">
        <f>IF(OR(F46="",H46=""),"",F46*H46)</f>
        <v/>
      </c>
      <c r="J46" s="16">
        <f>IF(OR(G46="",H46=""),"",G46*H46)</f>
        <v/>
      </c>
      <c r="K46" s="18">
        <f>IF(J46="","",J46*IF(IFERROR(VLOOKUP(A46,'Équipe'!$A$5:$C$14,3,FALSE),"")="",'Paramètres'!$B$6,VLOOKUP(A46,'Équipe'!$A$5:$C$14,3,FALSE)))</f>
        <v/>
      </c>
      <c r="L46" s="6" t="n"/>
      <c r="M46" s="19">
        <f>IF(I46="","",I46+ROW()/100000)</f>
        <v/>
      </c>
    </row>
    <row r="47">
      <c r="A47" s="5" t="n"/>
      <c r="B47" s="5" t="n"/>
      <c r="C47" s="5" t="n"/>
      <c r="D47" s="10" t="n"/>
      <c r="E47" s="10" t="n"/>
      <c r="F47" s="15">
        <f>IF(OR(D47="",E47=""),"",D47*E47)</f>
        <v/>
      </c>
      <c r="G47" s="16">
        <f>IF(F47="","",F47*'Paramètres'!$B$5/60)</f>
        <v/>
      </c>
      <c r="H47" s="17" t="n"/>
      <c r="I47" s="15">
        <f>IF(OR(F47="",H47=""),"",F47*H47)</f>
        <v/>
      </c>
      <c r="J47" s="16">
        <f>IF(OR(G47="",H47=""),"",G47*H47)</f>
        <v/>
      </c>
      <c r="K47" s="18">
        <f>IF(J47="","",J47*IF(IFERROR(VLOOKUP(A47,'Équipe'!$A$5:$C$14,3,FALSE),"")="",'Paramètres'!$B$6,VLOOKUP(A47,'Équipe'!$A$5:$C$14,3,FALSE)))</f>
        <v/>
      </c>
      <c r="L47" s="6" t="n"/>
      <c r="M47" s="19">
        <f>IF(I47="","",I47+ROW()/100000)</f>
        <v/>
      </c>
    </row>
    <row r="48">
      <c r="A48" s="5" t="n"/>
      <c r="B48" s="5" t="n"/>
      <c r="C48" s="5" t="n"/>
      <c r="D48" s="10" t="n"/>
      <c r="E48" s="10" t="n"/>
      <c r="F48" s="15">
        <f>IF(OR(D48="",E48=""),"",D48*E48)</f>
        <v/>
      </c>
      <c r="G48" s="16">
        <f>IF(F48="","",F48*'Paramètres'!$B$5/60)</f>
        <v/>
      </c>
      <c r="H48" s="17" t="n"/>
      <c r="I48" s="15">
        <f>IF(OR(F48="",H48=""),"",F48*H48)</f>
        <v/>
      </c>
      <c r="J48" s="16">
        <f>IF(OR(G48="",H48=""),"",G48*H48)</f>
        <v/>
      </c>
      <c r="K48" s="18">
        <f>IF(J48="","",J48*IF(IFERROR(VLOOKUP(A48,'Équipe'!$A$5:$C$14,3,FALSE),"")="",'Paramètres'!$B$6,VLOOKUP(A48,'Équipe'!$A$5:$C$14,3,FALSE)))</f>
        <v/>
      </c>
      <c r="L48" s="6" t="n"/>
      <c r="M48" s="19">
        <f>IF(I48="","",I48+ROW()/100000)</f>
        <v/>
      </c>
    </row>
    <row r="49">
      <c r="A49" s="5" t="n"/>
      <c r="B49" s="5" t="n"/>
      <c r="C49" s="5" t="n"/>
      <c r="D49" s="10" t="n"/>
      <c r="E49" s="10" t="n"/>
      <c r="F49" s="15">
        <f>IF(OR(D49="",E49=""),"",D49*E49)</f>
        <v/>
      </c>
      <c r="G49" s="16">
        <f>IF(F49="","",F49*'Paramètres'!$B$5/60)</f>
        <v/>
      </c>
      <c r="H49" s="17" t="n"/>
      <c r="I49" s="15">
        <f>IF(OR(F49="",H49=""),"",F49*H49)</f>
        <v/>
      </c>
      <c r="J49" s="16">
        <f>IF(OR(G49="",H49=""),"",G49*H49)</f>
        <v/>
      </c>
      <c r="K49" s="18">
        <f>IF(J49="","",J49*IF(IFERROR(VLOOKUP(A49,'Équipe'!$A$5:$C$14,3,FALSE),"")="",'Paramètres'!$B$6,VLOOKUP(A49,'Équipe'!$A$5:$C$14,3,FALSE)))</f>
        <v/>
      </c>
      <c r="L49" s="6" t="n"/>
      <c r="M49" s="19">
        <f>IF(I49="","",I49+ROW()/100000)</f>
        <v/>
      </c>
    </row>
    <row r="50">
      <c r="A50" s="5" t="n"/>
      <c r="B50" s="5" t="n"/>
      <c r="C50" s="5" t="n"/>
      <c r="D50" s="10" t="n"/>
      <c r="E50" s="10" t="n"/>
      <c r="F50" s="15">
        <f>IF(OR(D50="",E50=""),"",D50*E50)</f>
        <v/>
      </c>
      <c r="G50" s="16">
        <f>IF(F50="","",F50*'Paramètres'!$B$5/60)</f>
        <v/>
      </c>
      <c r="H50" s="17" t="n"/>
      <c r="I50" s="15">
        <f>IF(OR(F50="",H50=""),"",F50*H50)</f>
        <v/>
      </c>
      <c r="J50" s="16">
        <f>IF(OR(G50="",H50=""),"",G50*H50)</f>
        <v/>
      </c>
      <c r="K50" s="18">
        <f>IF(J50="","",J50*IF(IFERROR(VLOOKUP(A50,'Équipe'!$A$5:$C$14,3,FALSE),"")="",'Paramètres'!$B$6,VLOOKUP(A50,'Équipe'!$A$5:$C$14,3,FALSE)))</f>
        <v/>
      </c>
      <c r="L50" s="6" t="n"/>
      <c r="M50" s="19">
        <f>IF(I50="","",I50+ROW()/100000)</f>
        <v/>
      </c>
    </row>
    <row r="51">
      <c r="A51" s="5" t="n"/>
      <c r="B51" s="5" t="n"/>
      <c r="C51" s="5" t="n"/>
      <c r="D51" s="10" t="n"/>
      <c r="E51" s="10" t="n"/>
      <c r="F51" s="15">
        <f>IF(OR(D51="",E51=""),"",D51*E51)</f>
        <v/>
      </c>
      <c r="G51" s="16">
        <f>IF(F51="","",F51*'Paramètres'!$B$5/60)</f>
        <v/>
      </c>
      <c r="H51" s="17" t="n"/>
      <c r="I51" s="15">
        <f>IF(OR(F51="",H51=""),"",F51*H51)</f>
        <v/>
      </c>
      <c r="J51" s="16">
        <f>IF(OR(G51="",H51=""),"",G51*H51)</f>
        <v/>
      </c>
      <c r="K51" s="18">
        <f>IF(J51="","",J51*IF(IFERROR(VLOOKUP(A51,'Équipe'!$A$5:$C$14,3,FALSE),"")="",'Paramètres'!$B$6,VLOOKUP(A51,'Équipe'!$A$5:$C$14,3,FALSE)))</f>
        <v/>
      </c>
      <c r="L51" s="6" t="n"/>
      <c r="M51" s="19">
        <f>IF(I51="","",I51+ROW()/100000)</f>
        <v/>
      </c>
    </row>
    <row r="52">
      <c r="A52" s="5" t="n"/>
      <c r="B52" s="5" t="n"/>
      <c r="C52" s="5" t="n"/>
      <c r="D52" s="10" t="n"/>
      <c r="E52" s="10" t="n"/>
      <c r="F52" s="15">
        <f>IF(OR(D52="",E52=""),"",D52*E52)</f>
        <v/>
      </c>
      <c r="G52" s="16">
        <f>IF(F52="","",F52*'Paramètres'!$B$5/60)</f>
        <v/>
      </c>
      <c r="H52" s="17" t="n"/>
      <c r="I52" s="15">
        <f>IF(OR(F52="",H52=""),"",F52*H52)</f>
        <v/>
      </c>
      <c r="J52" s="16">
        <f>IF(OR(G52="",H52=""),"",G52*H52)</f>
        <v/>
      </c>
      <c r="K52" s="18">
        <f>IF(J52="","",J52*IF(IFERROR(VLOOKUP(A52,'Équipe'!$A$5:$C$14,3,FALSE),"")="",'Paramètres'!$B$6,VLOOKUP(A52,'Équipe'!$A$5:$C$14,3,FALSE)))</f>
        <v/>
      </c>
      <c r="L52" s="6" t="n"/>
      <c r="M52" s="19">
        <f>IF(I52="","",I52+ROW()/100000)</f>
        <v/>
      </c>
    </row>
    <row r="53">
      <c r="A53" s="5" t="n"/>
      <c r="B53" s="5" t="n"/>
      <c r="C53" s="5" t="n"/>
      <c r="D53" s="10" t="n"/>
      <c r="E53" s="10" t="n"/>
      <c r="F53" s="15">
        <f>IF(OR(D53="",E53=""),"",D53*E53)</f>
        <v/>
      </c>
      <c r="G53" s="16">
        <f>IF(F53="","",F53*'Paramètres'!$B$5/60)</f>
        <v/>
      </c>
      <c r="H53" s="17" t="n"/>
      <c r="I53" s="15">
        <f>IF(OR(F53="",H53=""),"",F53*H53)</f>
        <v/>
      </c>
      <c r="J53" s="16">
        <f>IF(OR(G53="",H53=""),"",G53*H53)</f>
        <v/>
      </c>
      <c r="K53" s="18">
        <f>IF(J53="","",J53*IF(IFERROR(VLOOKUP(A53,'Équipe'!$A$5:$C$14,3,FALSE),"")="",'Paramètres'!$B$6,VLOOKUP(A53,'Équipe'!$A$5:$C$14,3,FALSE)))</f>
        <v/>
      </c>
      <c r="L53" s="6" t="n"/>
      <c r="M53" s="19">
        <f>IF(I53="","",I53+ROW()/100000)</f>
        <v/>
      </c>
    </row>
    <row r="54">
      <c r="A54" s="5" t="n"/>
      <c r="B54" s="5" t="n"/>
      <c r="C54" s="5" t="n"/>
      <c r="D54" s="10" t="n"/>
      <c r="E54" s="10" t="n"/>
      <c r="F54" s="15">
        <f>IF(OR(D54="",E54=""),"",D54*E54)</f>
        <v/>
      </c>
      <c r="G54" s="16">
        <f>IF(F54="","",F54*'Paramètres'!$B$5/60)</f>
        <v/>
      </c>
      <c r="H54" s="17" t="n"/>
      <c r="I54" s="15">
        <f>IF(OR(F54="",H54=""),"",F54*H54)</f>
        <v/>
      </c>
      <c r="J54" s="16">
        <f>IF(OR(G54="",H54=""),"",G54*H54)</f>
        <v/>
      </c>
      <c r="K54" s="18">
        <f>IF(J54="","",J54*IF(IFERROR(VLOOKUP(A54,'Équipe'!$A$5:$C$14,3,FALSE),"")="",'Paramètres'!$B$6,VLOOKUP(A54,'Équipe'!$A$5:$C$14,3,FALSE)))</f>
        <v/>
      </c>
      <c r="L54" s="6" t="n"/>
      <c r="M54" s="19">
        <f>IF(I54="","",I54+ROW()/100000)</f>
        <v/>
      </c>
    </row>
    <row r="55">
      <c r="A55" s="5" t="n"/>
      <c r="B55" s="5" t="n"/>
      <c r="C55" s="5" t="n"/>
      <c r="D55" s="10" t="n"/>
      <c r="E55" s="10" t="n"/>
      <c r="F55" s="15">
        <f>IF(OR(D55="",E55=""),"",D55*E55)</f>
        <v/>
      </c>
      <c r="G55" s="16">
        <f>IF(F55="","",F55*'Paramètres'!$B$5/60)</f>
        <v/>
      </c>
      <c r="H55" s="17" t="n"/>
      <c r="I55" s="15">
        <f>IF(OR(F55="",H55=""),"",F55*H55)</f>
        <v/>
      </c>
      <c r="J55" s="16">
        <f>IF(OR(G55="",H55=""),"",G55*H55)</f>
        <v/>
      </c>
      <c r="K55" s="18">
        <f>IF(J55="","",J55*IF(IFERROR(VLOOKUP(A55,'Équipe'!$A$5:$C$14,3,FALSE),"")="",'Paramètres'!$B$6,VLOOKUP(A55,'Équipe'!$A$5:$C$14,3,FALSE)))</f>
        <v/>
      </c>
      <c r="L55" s="6" t="n"/>
      <c r="M55" s="19">
        <f>IF(I55="","",I55+ROW()/100000)</f>
        <v/>
      </c>
    </row>
    <row r="56">
      <c r="A56" s="5" t="n"/>
      <c r="B56" s="5" t="n"/>
      <c r="C56" s="5" t="n"/>
      <c r="D56" s="10" t="n"/>
      <c r="E56" s="10" t="n"/>
      <c r="F56" s="15">
        <f>IF(OR(D56="",E56=""),"",D56*E56)</f>
        <v/>
      </c>
      <c r="G56" s="16">
        <f>IF(F56="","",F56*'Paramètres'!$B$5/60)</f>
        <v/>
      </c>
      <c r="H56" s="17" t="n"/>
      <c r="I56" s="15">
        <f>IF(OR(F56="",H56=""),"",F56*H56)</f>
        <v/>
      </c>
      <c r="J56" s="16">
        <f>IF(OR(G56="",H56=""),"",G56*H56)</f>
        <v/>
      </c>
      <c r="K56" s="18">
        <f>IF(J56="","",J56*IF(IFERROR(VLOOKUP(A56,'Équipe'!$A$5:$C$14,3,FALSE),"")="",'Paramètres'!$B$6,VLOOKUP(A56,'Équipe'!$A$5:$C$14,3,FALSE)))</f>
        <v/>
      </c>
      <c r="L56" s="6" t="n"/>
      <c r="M56" s="19">
        <f>IF(I56="","",I56+ROW()/100000)</f>
        <v/>
      </c>
    </row>
    <row r="57">
      <c r="A57" s="5" t="n"/>
      <c r="B57" s="5" t="n"/>
      <c r="C57" s="5" t="n"/>
      <c r="D57" s="10" t="n"/>
      <c r="E57" s="10" t="n"/>
      <c r="F57" s="15">
        <f>IF(OR(D57="",E57=""),"",D57*E57)</f>
        <v/>
      </c>
      <c r="G57" s="16">
        <f>IF(F57="","",F57*'Paramètres'!$B$5/60)</f>
        <v/>
      </c>
      <c r="H57" s="17" t="n"/>
      <c r="I57" s="15">
        <f>IF(OR(F57="",H57=""),"",F57*H57)</f>
        <v/>
      </c>
      <c r="J57" s="16">
        <f>IF(OR(G57="",H57=""),"",G57*H57)</f>
        <v/>
      </c>
      <c r="K57" s="18">
        <f>IF(J57="","",J57*IF(IFERROR(VLOOKUP(A57,'Équipe'!$A$5:$C$14,3,FALSE),"")="",'Paramètres'!$B$6,VLOOKUP(A57,'Équipe'!$A$5:$C$14,3,FALSE)))</f>
        <v/>
      </c>
      <c r="L57" s="6" t="n"/>
      <c r="M57" s="19">
        <f>IF(I57="","",I57+ROW()/100000)</f>
        <v/>
      </c>
    </row>
    <row r="58">
      <c r="A58" s="5" t="n"/>
      <c r="B58" s="5" t="n"/>
      <c r="C58" s="5" t="n"/>
      <c r="D58" s="10" t="n"/>
      <c r="E58" s="10" t="n"/>
      <c r="F58" s="15">
        <f>IF(OR(D58="",E58=""),"",D58*E58)</f>
        <v/>
      </c>
      <c r="G58" s="16">
        <f>IF(F58="","",F58*'Paramètres'!$B$5/60)</f>
        <v/>
      </c>
      <c r="H58" s="17" t="n"/>
      <c r="I58" s="15">
        <f>IF(OR(F58="",H58=""),"",F58*H58)</f>
        <v/>
      </c>
      <c r="J58" s="16">
        <f>IF(OR(G58="",H58=""),"",G58*H58)</f>
        <v/>
      </c>
      <c r="K58" s="18">
        <f>IF(J58="","",J58*IF(IFERROR(VLOOKUP(A58,'Équipe'!$A$5:$C$14,3,FALSE),"")="",'Paramètres'!$B$6,VLOOKUP(A58,'Équipe'!$A$5:$C$14,3,FALSE)))</f>
        <v/>
      </c>
      <c r="L58" s="6" t="n"/>
      <c r="M58" s="19">
        <f>IF(I58="","",I58+ROW()/100000)</f>
        <v/>
      </c>
    </row>
    <row r="59">
      <c r="A59" s="5" t="n"/>
      <c r="B59" s="5" t="n"/>
      <c r="C59" s="5" t="n"/>
      <c r="D59" s="10" t="n"/>
      <c r="E59" s="10" t="n"/>
      <c r="F59" s="15">
        <f>IF(OR(D59="",E59=""),"",D59*E59)</f>
        <v/>
      </c>
      <c r="G59" s="16">
        <f>IF(F59="","",F59*'Paramètres'!$B$5/60)</f>
        <v/>
      </c>
      <c r="H59" s="17" t="n"/>
      <c r="I59" s="15">
        <f>IF(OR(F59="",H59=""),"",F59*H59)</f>
        <v/>
      </c>
      <c r="J59" s="16">
        <f>IF(OR(G59="",H59=""),"",G59*H59)</f>
        <v/>
      </c>
      <c r="K59" s="18">
        <f>IF(J59="","",J59*IF(IFERROR(VLOOKUP(A59,'Équipe'!$A$5:$C$14,3,FALSE),"")="",'Paramètres'!$B$6,VLOOKUP(A59,'Équipe'!$A$5:$C$14,3,FALSE)))</f>
        <v/>
      </c>
      <c r="L59" s="6" t="n"/>
      <c r="M59" s="19">
        <f>IF(I59="","",I59+ROW()/100000)</f>
        <v/>
      </c>
    </row>
    <row r="60">
      <c r="A60" s="5" t="n"/>
      <c r="B60" s="5" t="n"/>
      <c r="C60" s="5" t="n"/>
      <c r="D60" s="10" t="n"/>
      <c r="E60" s="10" t="n"/>
      <c r="F60" s="15">
        <f>IF(OR(D60="",E60=""),"",D60*E60)</f>
        <v/>
      </c>
      <c r="G60" s="16">
        <f>IF(F60="","",F60*'Paramètres'!$B$5/60)</f>
        <v/>
      </c>
      <c r="H60" s="17" t="n"/>
      <c r="I60" s="15">
        <f>IF(OR(F60="",H60=""),"",F60*H60)</f>
        <v/>
      </c>
      <c r="J60" s="16">
        <f>IF(OR(G60="",H60=""),"",G60*H60)</f>
        <v/>
      </c>
      <c r="K60" s="18">
        <f>IF(J60="","",J60*IF(IFERROR(VLOOKUP(A60,'Équipe'!$A$5:$C$14,3,FALSE),"")="",'Paramètres'!$B$6,VLOOKUP(A60,'Équipe'!$A$5:$C$14,3,FALSE)))</f>
        <v/>
      </c>
      <c r="L60" s="6" t="n"/>
      <c r="M60" s="19">
        <f>IF(I60="","",I60+ROW()/100000)</f>
        <v/>
      </c>
    </row>
    <row r="61">
      <c r="A61" s="5" t="n"/>
      <c r="B61" s="5" t="n"/>
      <c r="C61" s="5" t="n"/>
      <c r="D61" s="10" t="n"/>
      <c r="E61" s="10" t="n"/>
      <c r="F61" s="15">
        <f>IF(OR(D61="",E61=""),"",D61*E61)</f>
        <v/>
      </c>
      <c r="G61" s="16">
        <f>IF(F61="","",F61*'Paramètres'!$B$5/60)</f>
        <v/>
      </c>
      <c r="H61" s="17" t="n"/>
      <c r="I61" s="15">
        <f>IF(OR(F61="",H61=""),"",F61*H61)</f>
        <v/>
      </c>
      <c r="J61" s="16">
        <f>IF(OR(G61="",H61=""),"",G61*H61)</f>
        <v/>
      </c>
      <c r="K61" s="18">
        <f>IF(J61="","",J61*IF(IFERROR(VLOOKUP(A61,'Équipe'!$A$5:$C$14,3,FALSE),"")="",'Paramètres'!$B$6,VLOOKUP(A61,'Équipe'!$A$5:$C$14,3,FALSE)))</f>
        <v/>
      </c>
      <c r="L61" s="6" t="n"/>
      <c r="M61" s="19">
        <f>IF(I61="","",I61+ROW()/100000)</f>
        <v/>
      </c>
    </row>
    <row r="62">
      <c r="A62" s="5" t="n"/>
      <c r="B62" s="5" t="n"/>
      <c r="C62" s="5" t="n"/>
      <c r="D62" s="10" t="n"/>
      <c r="E62" s="10" t="n"/>
      <c r="F62" s="15">
        <f>IF(OR(D62="",E62=""),"",D62*E62)</f>
        <v/>
      </c>
      <c r="G62" s="16">
        <f>IF(F62="","",F62*'Paramètres'!$B$5/60)</f>
        <v/>
      </c>
      <c r="H62" s="17" t="n"/>
      <c r="I62" s="15">
        <f>IF(OR(F62="",H62=""),"",F62*H62)</f>
        <v/>
      </c>
      <c r="J62" s="16">
        <f>IF(OR(G62="",H62=""),"",G62*H62)</f>
        <v/>
      </c>
      <c r="K62" s="18">
        <f>IF(J62="","",J62*IF(IFERROR(VLOOKUP(A62,'Équipe'!$A$5:$C$14,3,FALSE),"")="",'Paramètres'!$B$6,VLOOKUP(A62,'Équipe'!$A$5:$C$14,3,FALSE)))</f>
        <v/>
      </c>
      <c r="L62" s="6" t="n"/>
      <c r="M62" s="19">
        <f>IF(I62="","",I62+ROW()/100000)</f>
        <v/>
      </c>
    </row>
    <row r="63">
      <c r="A63" s="5" t="n"/>
      <c r="B63" s="5" t="n"/>
      <c r="C63" s="5" t="n"/>
      <c r="D63" s="10" t="n"/>
      <c r="E63" s="10" t="n"/>
      <c r="F63" s="15">
        <f>IF(OR(D63="",E63=""),"",D63*E63)</f>
        <v/>
      </c>
      <c r="G63" s="16">
        <f>IF(F63="","",F63*'Paramètres'!$B$5/60)</f>
        <v/>
      </c>
      <c r="H63" s="17" t="n"/>
      <c r="I63" s="15">
        <f>IF(OR(F63="",H63=""),"",F63*H63)</f>
        <v/>
      </c>
      <c r="J63" s="16">
        <f>IF(OR(G63="",H63=""),"",G63*H63)</f>
        <v/>
      </c>
      <c r="K63" s="18">
        <f>IF(J63="","",J63*IF(IFERROR(VLOOKUP(A63,'Équipe'!$A$5:$C$14,3,FALSE),"")="",'Paramètres'!$B$6,VLOOKUP(A63,'Équipe'!$A$5:$C$14,3,FALSE)))</f>
        <v/>
      </c>
      <c r="L63" s="6" t="n"/>
      <c r="M63" s="19">
        <f>IF(I63="","",I63+ROW()/100000)</f>
        <v/>
      </c>
    </row>
    <row r="64">
      <c r="A64" s="5" t="n"/>
      <c r="B64" s="5" t="n"/>
      <c r="C64" s="5" t="n"/>
      <c r="D64" s="10" t="n"/>
      <c r="E64" s="10" t="n"/>
      <c r="F64" s="15">
        <f>IF(OR(D64="",E64=""),"",D64*E64)</f>
        <v/>
      </c>
      <c r="G64" s="16">
        <f>IF(F64="","",F64*'Paramètres'!$B$5/60)</f>
        <v/>
      </c>
      <c r="H64" s="17" t="n"/>
      <c r="I64" s="15">
        <f>IF(OR(F64="",H64=""),"",F64*H64)</f>
        <v/>
      </c>
      <c r="J64" s="16">
        <f>IF(OR(G64="",H64=""),"",G64*H64)</f>
        <v/>
      </c>
      <c r="K64" s="18">
        <f>IF(J64="","",J64*IF(IFERROR(VLOOKUP(A64,'Équipe'!$A$5:$C$14,3,FALSE),"")="",'Paramètres'!$B$6,VLOOKUP(A64,'Équipe'!$A$5:$C$14,3,FALSE)))</f>
        <v/>
      </c>
      <c r="L64" s="6" t="n"/>
      <c r="M64" s="19">
        <f>IF(I64="","",I64+ROW()/100000)</f>
        <v/>
      </c>
    </row>
    <row r="65">
      <c r="A65" s="5" t="n"/>
      <c r="B65" s="5" t="n"/>
      <c r="C65" s="5" t="n"/>
      <c r="D65" s="10" t="n"/>
      <c r="E65" s="10" t="n"/>
      <c r="F65" s="15">
        <f>IF(OR(D65="",E65=""),"",D65*E65)</f>
        <v/>
      </c>
      <c r="G65" s="16">
        <f>IF(F65="","",F65*'Paramètres'!$B$5/60)</f>
        <v/>
      </c>
      <c r="H65" s="17" t="n"/>
      <c r="I65" s="15">
        <f>IF(OR(F65="",H65=""),"",F65*H65)</f>
        <v/>
      </c>
      <c r="J65" s="16">
        <f>IF(OR(G65="",H65=""),"",G65*H65)</f>
        <v/>
      </c>
      <c r="K65" s="18">
        <f>IF(J65="","",J65*IF(IFERROR(VLOOKUP(A65,'Équipe'!$A$5:$C$14,3,FALSE),"")="",'Paramètres'!$B$6,VLOOKUP(A65,'Équipe'!$A$5:$C$14,3,FALSE)))</f>
        <v/>
      </c>
      <c r="L65" s="6" t="n"/>
      <c r="M65" s="19">
        <f>IF(I65="","",I65+ROW()/100000)</f>
        <v/>
      </c>
    </row>
    <row r="66">
      <c r="A66" s="5" t="n"/>
      <c r="B66" s="5" t="n"/>
      <c r="C66" s="5" t="n"/>
      <c r="D66" s="10" t="n"/>
      <c r="E66" s="10" t="n"/>
      <c r="F66" s="15">
        <f>IF(OR(D66="",E66=""),"",D66*E66)</f>
        <v/>
      </c>
      <c r="G66" s="16">
        <f>IF(F66="","",F66*'Paramètres'!$B$5/60)</f>
        <v/>
      </c>
      <c r="H66" s="17" t="n"/>
      <c r="I66" s="15">
        <f>IF(OR(F66="",H66=""),"",F66*H66)</f>
        <v/>
      </c>
      <c r="J66" s="16">
        <f>IF(OR(G66="",H66=""),"",G66*H66)</f>
        <v/>
      </c>
      <c r="K66" s="18">
        <f>IF(J66="","",J66*IF(IFERROR(VLOOKUP(A66,'Équipe'!$A$5:$C$14,3,FALSE),"")="",'Paramètres'!$B$6,VLOOKUP(A66,'Équipe'!$A$5:$C$14,3,FALSE)))</f>
        <v/>
      </c>
      <c r="L66" s="6" t="n"/>
      <c r="M66" s="19">
        <f>IF(I66="","",I66+ROW()/100000)</f>
        <v/>
      </c>
    </row>
    <row r="67">
      <c r="A67" s="5" t="n"/>
      <c r="B67" s="5" t="n"/>
      <c r="C67" s="5" t="n"/>
      <c r="D67" s="10" t="n"/>
      <c r="E67" s="10" t="n"/>
      <c r="F67" s="15">
        <f>IF(OR(D67="",E67=""),"",D67*E67)</f>
        <v/>
      </c>
      <c r="G67" s="16">
        <f>IF(F67="","",F67*'Paramètres'!$B$5/60)</f>
        <v/>
      </c>
      <c r="H67" s="17" t="n"/>
      <c r="I67" s="15">
        <f>IF(OR(F67="",H67=""),"",F67*H67)</f>
        <v/>
      </c>
      <c r="J67" s="16">
        <f>IF(OR(G67="",H67=""),"",G67*H67)</f>
        <v/>
      </c>
      <c r="K67" s="18">
        <f>IF(J67="","",J67*IF(IFERROR(VLOOKUP(A67,'Équipe'!$A$5:$C$14,3,FALSE),"")="",'Paramètres'!$B$6,VLOOKUP(A67,'Équipe'!$A$5:$C$14,3,FALSE)))</f>
        <v/>
      </c>
      <c r="L67" s="6" t="n"/>
      <c r="M67" s="19">
        <f>IF(I67="","",I67+ROW()/100000)</f>
        <v/>
      </c>
    </row>
    <row r="68">
      <c r="A68" s="5" t="n"/>
      <c r="B68" s="5" t="n"/>
      <c r="C68" s="5" t="n"/>
      <c r="D68" s="10" t="n"/>
      <c r="E68" s="10" t="n"/>
      <c r="F68" s="15">
        <f>IF(OR(D68="",E68=""),"",D68*E68)</f>
        <v/>
      </c>
      <c r="G68" s="16">
        <f>IF(F68="","",F68*'Paramètres'!$B$5/60)</f>
        <v/>
      </c>
      <c r="H68" s="17" t="n"/>
      <c r="I68" s="15">
        <f>IF(OR(F68="",H68=""),"",F68*H68)</f>
        <v/>
      </c>
      <c r="J68" s="16">
        <f>IF(OR(G68="",H68=""),"",G68*H68)</f>
        <v/>
      </c>
      <c r="K68" s="18">
        <f>IF(J68="","",J68*IF(IFERROR(VLOOKUP(A68,'Équipe'!$A$5:$C$14,3,FALSE),"")="",'Paramètres'!$B$6,VLOOKUP(A68,'Équipe'!$A$5:$C$14,3,FALSE)))</f>
        <v/>
      </c>
      <c r="L68" s="6" t="n"/>
      <c r="M68" s="19">
        <f>IF(I68="","",I68+ROW()/100000)</f>
        <v/>
      </c>
    </row>
    <row r="69">
      <c r="A69" s="5" t="n"/>
      <c r="B69" s="5" t="n"/>
      <c r="C69" s="5" t="n"/>
      <c r="D69" s="10" t="n"/>
      <c r="E69" s="10" t="n"/>
      <c r="F69" s="15">
        <f>IF(OR(D69="",E69=""),"",D69*E69)</f>
        <v/>
      </c>
      <c r="G69" s="16">
        <f>IF(F69="","",F69*'Paramètres'!$B$5/60)</f>
        <v/>
      </c>
      <c r="H69" s="17" t="n"/>
      <c r="I69" s="15">
        <f>IF(OR(F69="",H69=""),"",F69*H69)</f>
        <v/>
      </c>
      <c r="J69" s="16">
        <f>IF(OR(G69="",H69=""),"",G69*H69)</f>
        <v/>
      </c>
      <c r="K69" s="18">
        <f>IF(J69="","",J69*IF(IFERROR(VLOOKUP(A69,'Équipe'!$A$5:$C$14,3,FALSE),"")="",'Paramètres'!$B$6,VLOOKUP(A69,'Équipe'!$A$5:$C$14,3,FALSE)))</f>
        <v/>
      </c>
      <c r="L69" s="6" t="n"/>
      <c r="M69" s="19">
        <f>IF(I69="","",I69+ROW()/100000)</f>
        <v/>
      </c>
    </row>
    <row r="70">
      <c r="A70" s="5" t="n"/>
      <c r="B70" s="5" t="n"/>
      <c r="C70" s="5" t="n"/>
      <c r="D70" s="10" t="n"/>
      <c r="E70" s="10" t="n"/>
      <c r="F70" s="15">
        <f>IF(OR(D70="",E70=""),"",D70*E70)</f>
        <v/>
      </c>
      <c r="G70" s="16">
        <f>IF(F70="","",F70*'Paramètres'!$B$5/60)</f>
        <v/>
      </c>
      <c r="H70" s="17" t="n"/>
      <c r="I70" s="15">
        <f>IF(OR(F70="",H70=""),"",F70*H70)</f>
        <v/>
      </c>
      <c r="J70" s="16">
        <f>IF(OR(G70="",H70=""),"",G70*H70)</f>
        <v/>
      </c>
      <c r="K70" s="18">
        <f>IF(J70="","",J70*IF(IFERROR(VLOOKUP(A70,'Équipe'!$A$5:$C$14,3,FALSE),"")="",'Paramètres'!$B$6,VLOOKUP(A70,'Équipe'!$A$5:$C$14,3,FALSE)))</f>
        <v/>
      </c>
      <c r="L70" s="6" t="n"/>
      <c r="M70" s="19">
        <f>IF(I70="","",I70+ROW()/100000)</f>
        <v/>
      </c>
    </row>
    <row r="71">
      <c r="A71" s="5" t="n"/>
      <c r="B71" s="5" t="n"/>
      <c r="C71" s="5" t="n"/>
      <c r="D71" s="10" t="n"/>
      <c r="E71" s="10" t="n"/>
      <c r="F71" s="15">
        <f>IF(OR(D71="",E71=""),"",D71*E71)</f>
        <v/>
      </c>
      <c r="G71" s="16">
        <f>IF(F71="","",F71*'Paramètres'!$B$5/60)</f>
        <v/>
      </c>
      <c r="H71" s="17" t="n"/>
      <c r="I71" s="15">
        <f>IF(OR(F71="",H71=""),"",F71*H71)</f>
        <v/>
      </c>
      <c r="J71" s="16">
        <f>IF(OR(G71="",H71=""),"",G71*H71)</f>
        <v/>
      </c>
      <c r="K71" s="18">
        <f>IF(J71="","",J71*IF(IFERROR(VLOOKUP(A71,'Équipe'!$A$5:$C$14,3,FALSE),"")="",'Paramètres'!$B$6,VLOOKUP(A71,'Équipe'!$A$5:$C$14,3,FALSE)))</f>
        <v/>
      </c>
      <c r="L71" s="6" t="n"/>
      <c r="M71" s="19">
        <f>IF(I71="","",I71+ROW()/100000)</f>
        <v/>
      </c>
    </row>
    <row r="72">
      <c r="A72" s="5" t="n"/>
      <c r="B72" s="5" t="n"/>
      <c r="C72" s="5" t="n"/>
      <c r="D72" s="10" t="n"/>
      <c r="E72" s="10" t="n"/>
      <c r="F72" s="15">
        <f>IF(OR(D72="",E72=""),"",D72*E72)</f>
        <v/>
      </c>
      <c r="G72" s="16">
        <f>IF(F72="","",F72*'Paramètres'!$B$5/60)</f>
        <v/>
      </c>
      <c r="H72" s="17" t="n"/>
      <c r="I72" s="15">
        <f>IF(OR(F72="",H72=""),"",F72*H72)</f>
        <v/>
      </c>
      <c r="J72" s="16">
        <f>IF(OR(G72="",H72=""),"",G72*H72)</f>
        <v/>
      </c>
      <c r="K72" s="18">
        <f>IF(J72="","",J72*IF(IFERROR(VLOOKUP(A72,'Équipe'!$A$5:$C$14,3,FALSE),"")="",'Paramètres'!$B$6,VLOOKUP(A72,'Équipe'!$A$5:$C$14,3,FALSE)))</f>
        <v/>
      </c>
      <c r="L72" s="6" t="n"/>
      <c r="M72" s="19">
        <f>IF(I72="","",I72+ROW()/100000)</f>
        <v/>
      </c>
    </row>
    <row r="73">
      <c r="A73" s="5" t="n"/>
      <c r="B73" s="5" t="n"/>
      <c r="C73" s="5" t="n"/>
      <c r="D73" s="10" t="n"/>
      <c r="E73" s="10" t="n"/>
      <c r="F73" s="15">
        <f>IF(OR(D73="",E73=""),"",D73*E73)</f>
        <v/>
      </c>
      <c r="G73" s="16">
        <f>IF(F73="","",F73*'Paramètres'!$B$5/60)</f>
        <v/>
      </c>
      <c r="H73" s="17" t="n"/>
      <c r="I73" s="15">
        <f>IF(OR(F73="",H73=""),"",F73*H73)</f>
        <v/>
      </c>
      <c r="J73" s="16">
        <f>IF(OR(G73="",H73=""),"",G73*H73)</f>
        <v/>
      </c>
      <c r="K73" s="18">
        <f>IF(J73="","",J73*IF(IFERROR(VLOOKUP(A73,'Équipe'!$A$5:$C$14,3,FALSE),"")="",'Paramètres'!$B$6,VLOOKUP(A73,'Équipe'!$A$5:$C$14,3,FALSE)))</f>
        <v/>
      </c>
      <c r="L73" s="6" t="n"/>
      <c r="M73" s="19">
        <f>IF(I73="","",I73+ROW()/100000)</f>
        <v/>
      </c>
    </row>
    <row r="74">
      <c r="A74" s="5" t="n"/>
      <c r="B74" s="5" t="n"/>
      <c r="C74" s="5" t="n"/>
      <c r="D74" s="10" t="n"/>
      <c r="E74" s="10" t="n"/>
      <c r="F74" s="15">
        <f>IF(OR(D74="",E74=""),"",D74*E74)</f>
        <v/>
      </c>
      <c r="G74" s="16">
        <f>IF(F74="","",F74*'Paramètres'!$B$5/60)</f>
        <v/>
      </c>
      <c r="H74" s="17" t="n"/>
      <c r="I74" s="15">
        <f>IF(OR(F74="",H74=""),"",F74*H74)</f>
        <v/>
      </c>
      <c r="J74" s="16">
        <f>IF(OR(G74="",H74=""),"",G74*H74)</f>
        <v/>
      </c>
      <c r="K74" s="18">
        <f>IF(J74="","",J74*IF(IFERROR(VLOOKUP(A74,'Équipe'!$A$5:$C$14,3,FALSE),"")="",'Paramètres'!$B$6,VLOOKUP(A74,'Équipe'!$A$5:$C$14,3,FALSE)))</f>
        <v/>
      </c>
      <c r="L74" s="6" t="n"/>
      <c r="M74" s="19">
        <f>IF(I74="","",I74+ROW()/100000)</f>
        <v/>
      </c>
    </row>
    <row r="75">
      <c r="A75" s="5" t="n"/>
      <c r="B75" s="5" t="n"/>
      <c r="C75" s="5" t="n"/>
      <c r="D75" s="10" t="n"/>
      <c r="E75" s="10" t="n"/>
      <c r="F75" s="15">
        <f>IF(OR(D75="",E75=""),"",D75*E75)</f>
        <v/>
      </c>
      <c r="G75" s="16">
        <f>IF(F75="","",F75*'Paramètres'!$B$5/60)</f>
        <v/>
      </c>
      <c r="H75" s="17" t="n"/>
      <c r="I75" s="15">
        <f>IF(OR(F75="",H75=""),"",F75*H75)</f>
        <v/>
      </c>
      <c r="J75" s="16">
        <f>IF(OR(G75="",H75=""),"",G75*H75)</f>
        <v/>
      </c>
      <c r="K75" s="18">
        <f>IF(J75="","",J75*IF(IFERROR(VLOOKUP(A75,'Équipe'!$A$5:$C$14,3,FALSE),"")="",'Paramètres'!$B$6,VLOOKUP(A75,'Équipe'!$A$5:$C$14,3,FALSE)))</f>
        <v/>
      </c>
      <c r="L75" s="6" t="n"/>
      <c r="M75" s="19">
        <f>IF(I75="","",I75+ROW()/100000)</f>
        <v/>
      </c>
    </row>
    <row r="76">
      <c r="A76" s="5" t="n"/>
      <c r="B76" s="5" t="n"/>
      <c r="C76" s="5" t="n"/>
      <c r="D76" s="10" t="n"/>
      <c r="E76" s="10" t="n"/>
      <c r="F76" s="15">
        <f>IF(OR(D76="",E76=""),"",D76*E76)</f>
        <v/>
      </c>
      <c r="G76" s="16">
        <f>IF(F76="","",F76*'Paramètres'!$B$5/60)</f>
        <v/>
      </c>
      <c r="H76" s="17" t="n"/>
      <c r="I76" s="15">
        <f>IF(OR(F76="",H76=""),"",F76*H76)</f>
        <v/>
      </c>
      <c r="J76" s="16">
        <f>IF(OR(G76="",H76=""),"",G76*H76)</f>
        <v/>
      </c>
      <c r="K76" s="18">
        <f>IF(J76="","",J76*IF(IFERROR(VLOOKUP(A76,'Équipe'!$A$5:$C$14,3,FALSE),"")="",'Paramètres'!$B$6,VLOOKUP(A76,'Équipe'!$A$5:$C$14,3,FALSE)))</f>
        <v/>
      </c>
      <c r="L76" s="6" t="n"/>
      <c r="M76" s="19">
        <f>IF(I76="","",I76+ROW()/100000)</f>
        <v/>
      </c>
    </row>
    <row r="77">
      <c r="A77" s="5" t="n"/>
      <c r="B77" s="5" t="n"/>
      <c r="C77" s="5" t="n"/>
      <c r="D77" s="10" t="n"/>
      <c r="E77" s="10" t="n"/>
      <c r="F77" s="15">
        <f>IF(OR(D77="",E77=""),"",D77*E77)</f>
        <v/>
      </c>
      <c r="G77" s="16">
        <f>IF(F77="","",F77*'Paramètres'!$B$5/60)</f>
        <v/>
      </c>
      <c r="H77" s="17" t="n"/>
      <c r="I77" s="15">
        <f>IF(OR(F77="",H77=""),"",F77*H77)</f>
        <v/>
      </c>
      <c r="J77" s="16">
        <f>IF(OR(G77="",H77=""),"",G77*H77)</f>
        <v/>
      </c>
      <c r="K77" s="18">
        <f>IF(J77="","",J77*IF(IFERROR(VLOOKUP(A77,'Équipe'!$A$5:$C$14,3,FALSE),"")="",'Paramètres'!$B$6,VLOOKUP(A77,'Équipe'!$A$5:$C$14,3,FALSE)))</f>
        <v/>
      </c>
      <c r="L77" s="6" t="n"/>
      <c r="M77" s="19">
        <f>IF(I77="","",I77+ROW()/100000)</f>
        <v/>
      </c>
    </row>
    <row r="78">
      <c r="A78" s="5" t="n"/>
      <c r="B78" s="5" t="n"/>
      <c r="C78" s="5" t="n"/>
      <c r="D78" s="10" t="n"/>
      <c r="E78" s="10" t="n"/>
      <c r="F78" s="15">
        <f>IF(OR(D78="",E78=""),"",D78*E78)</f>
        <v/>
      </c>
      <c r="G78" s="16">
        <f>IF(F78="","",F78*'Paramètres'!$B$5/60)</f>
        <v/>
      </c>
      <c r="H78" s="17" t="n"/>
      <c r="I78" s="15">
        <f>IF(OR(F78="",H78=""),"",F78*H78)</f>
        <v/>
      </c>
      <c r="J78" s="16">
        <f>IF(OR(G78="",H78=""),"",G78*H78)</f>
        <v/>
      </c>
      <c r="K78" s="18">
        <f>IF(J78="","",J78*IF(IFERROR(VLOOKUP(A78,'Équipe'!$A$5:$C$14,3,FALSE),"")="",'Paramètres'!$B$6,VLOOKUP(A78,'Équipe'!$A$5:$C$14,3,FALSE)))</f>
        <v/>
      </c>
      <c r="L78" s="6" t="n"/>
      <c r="M78" s="19">
        <f>IF(I78="","",I78+ROW()/100000)</f>
        <v/>
      </c>
    </row>
    <row r="79">
      <c r="A79" s="5" t="n"/>
      <c r="B79" s="5" t="n"/>
      <c r="C79" s="5" t="n"/>
      <c r="D79" s="10" t="n"/>
      <c r="E79" s="10" t="n"/>
      <c r="F79" s="15">
        <f>IF(OR(D79="",E79=""),"",D79*E79)</f>
        <v/>
      </c>
      <c r="G79" s="16">
        <f>IF(F79="","",F79*'Paramètres'!$B$5/60)</f>
        <v/>
      </c>
      <c r="H79" s="17" t="n"/>
      <c r="I79" s="15">
        <f>IF(OR(F79="",H79=""),"",F79*H79)</f>
        <v/>
      </c>
      <c r="J79" s="16">
        <f>IF(OR(G79="",H79=""),"",G79*H79)</f>
        <v/>
      </c>
      <c r="K79" s="18">
        <f>IF(J79="","",J79*IF(IFERROR(VLOOKUP(A79,'Équipe'!$A$5:$C$14,3,FALSE),"")="",'Paramètres'!$B$6,VLOOKUP(A79,'Équipe'!$A$5:$C$14,3,FALSE)))</f>
        <v/>
      </c>
      <c r="L79" s="6" t="n"/>
      <c r="M79" s="19">
        <f>IF(I79="","",I79+ROW()/100000)</f>
        <v/>
      </c>
    </row>
    <row r="80">
      <c r="A80" s="5" t="n"/>
      <c r="B80" s="5" t="n"/>
      <c r="C80" s="5" t="n"/>
      <c r="D80" s="10" t="n"/>
      <c r="E80" s="10" t="n"/>
      <c r="F80" s="15">
        <f>IF(OR(D80="",E80=""),"",D80*E80)</f>
        <v/>
      </c>
      <c r="G80" s="16">
        <f>IF(F80="","",F80*'Paramètres'!$B$5/60)</f>
        <v/>
      </c>
      <c r="H80" s="17" t="n"/>
      <c r="I80" s="15">
        <f>IF(OR(F80="",H80=""),"",F80*H80)</f>
        <v/>
      </c>
      <c r="J80" s="16">
        <f>IF(OR(G80="",H80=""),"",G80*H80)</f>
        <v/>
      </c>
      <c r="K80" s="18">
        <f>IF(J80="","",J80*IF(IFERROR(VLOOKUP(A80,'Équipe'!$A$5:$C$14,3,FALSE),"")="",'Paramètres'!$B$6,VLOOKUP(A80,'Équipe'!$A$5:$C$14,3,FALSE)))</f>
        <v/>
      </c>
      <c r="L80" s="6" t="n"/>
      <c r="M80" s="19">
        <f>IF(I80="","",I80+ROW()/100000)</f>
        <v/>
      </c>
    </row>
    <row r="81">
      <c r="A81" s="5" t="n"/>
      <c r="B81" s="5" t="n"/>
      <c r="C81" s="5" t="n"/>
      <c r="D81" s="10" t="n"/>
      <c r="E81" s="10" t="n"/>
      <c r="F81" s="15">
        <f>IF(OR(D81="",E81=""),"",D81*E81)</f>
        <v/>
      </c>
      <c r="G81" s="16">
        <f>IF(F81="","",F81*'Paramètres'!$B$5/60)</f>
        <v/>
      </c>
      <c r="H81" s="17" t="n"/>
      <c r="I81" s="15">
        <f>IF(OR(F81="",H81=""),"",F81*H81)</f>
        <v/>
      </c>
      <c r="J81" s="16">
        <f>IF(OR(G81="",H81=""),"",G81*H81)</f>
        <v/>
      </c>
      <c r="K81" s="18">
        <f>IF(J81="","",J81*IF(IFERROR(VLOOKUP(A81,'Équipe'!$A$5:$C$14,3,FALSE),"")="",'Paramètres'!$B$6,VLOOKUP(A81,'Équipe'!$A$5:$C$14,3,FALSE)))</f>
        <v/>
      </c>
      <c r="L81" s="6" t="n"/>
      <c r="M81" s="19">
        <f>IF(I81="","",I81+ROW()/100000)</f>
        <v/>
      </c>
    </row>
    <row r="82">
      <c r="A82" s="5" t="n"/>
      <c r="B82" s="5" t="n"/>
      <c r="C82" s="5" t="n"/>
      <c r="D82" s="10" t="n"/>
      <c r="E82" s="10" t="n"/>
      <c r="F82" s="15">
        <f>IF(OR(D82="",E82=""),"",D82*E82)</f>
        <v/>
      </c>
      <c r="G82" s="16">
        <f>IF(F82="","",F82*'Paramètres'!$B$5/60)</f>
        <v/>
      </c>
      <c r="H82" s="17" t="n"/>
      <c r="I82" s="15">
        <f>IF(OR(F82="",H82=""),"",F82*H82)</f>
        <v/>
      </c>
      <c r="J82" s="16">
        <f>IF(OR(G82="",H82=""),"",G82*H82)</f>
        <v/>
      </c>
      <c r="K82" s="18">
        <f>IF(J82="","",J82*IF(IFERROR(VLOOKUP(A82,'Équipe'!$A$5:$C$14,3,FALSE),"")="",'Paramètres'!$B$6,VLOOKUP(A82,'Équipe'!$A$5:$C$14,3,FALSE)))</f>
        <v/>
      </c>
      <c r="L82" s="6" t="n"/>
      <c r="M82" s="19">
        <f>IF(I82="","",I82+ROW()/100000)</f>
        <v/>
      </c>
    </row>
    <row r="83">
      <c r="A83" s="5" t="n"/>
      <c r="B83" s="5" t="n"/>
      <c r="C83" s="5" t="n"/>
      <c r="D83" s="10" t="n"/>
      <c r="E83" s="10" t="n"/>
      <c r="F83" s="15">
        <f>IF(OR(D83="",E83=""),"",D83*E83)</f>
        <v/>
      </c>
      <c r="G83" s="16">
        <f>IF(F83="","",F83*'Paramètres'!$B$5/60)</f>
        <v/>
      </c>
      <c r="H83" s="17" t="n"/>
      <c r="I83" s="15">
        <f>IF(OR(F83="",H83=""),"",F83*H83)</f>
        <v/>
      </c>
      <c r="J83" s="16">
        <f>IF(OR(G83="",H83=""),"",G83*H83)</f>
        <v/>
      </c>
      <c r="K83" s="18">
        <f>IF(J83="","",J83*IF(IFERROR(VLOOKUP(A83,'Équipe'!$A$5:$C$14,3,FALSE),"")="",'Paramètres'!$B$6,VLOOKUP(A83,'Équipe'!$A$5:$C$14,3,FALSE)))</f>
        <v/>
      </c>
      <c r="L83" s="6" t="n"/>
      <c r="M83" s="19">
        <f>IF(I83="","",I83+ROW()/100000)</f>
        <v/>
      </c>
    </row>
    <row r="84">
      <c r="A84" s="5" t="n"/>
      <c r="B84" s="5" t="n"/>
      <c r="C84" s="5" t="n"/>
      <c r="D84" s="10" t="n"/>
      <c r="E84" s="10" t="n"/>
      <c r="F84" s="15">
        <f>IF(OR(D84="",E84=""),"",D84*E84)</f>
        <v/>
      </c>
      <c r="G84" s="16">
        <f>IF(F84="","",F84*'Paramètres'!$B$5/60)</f>
        <v/>
      </c>
      <c r="H84" s="17" t="n"/>
      <c r="I84" s="15">
        <f>IF(OR(F84="",H84=""),"",F84*H84)</f>
        <v/>
      </c>
      <c r="J84" s="16">
        <f>IF(OR(G84="",H84=""),"",G84*H84)</f>
        <v/>
      </c>
      <c r="K84" s="18">
        <f>IF(J84="","",J84*IF(IFERROR(VLOOKUP(A84,'Équipe'!$A$5:$C$14,3,FALSE),"")="",'Paramètres'!$B$6,VLOOKUP(A84,'Équipe'!$A$5:$C$14,3,FALSE)))</f>
        <v/>
      </c>
      <c r="L84" s="6" t="n"/>
      <c r="M84" s="19">
        <f>IF(I84="","",I84+ROW()/100000)</f>
        <v/>
      </c>
    </row>
  </sheetData>
  <dataValidations count="2">
    <dataValidation sqref="A5:A84" showDropDown="0" showInputMessage="0" showErrorMessage="0" allowBlank="1" promptTitle="Choix" prompt="Choisissez une personne de l’onglet Équipe." type="list">
      <formula1>='Équipe'!$A$5:$A$14</formula1>
    </dataValidation>
    <dataValidation sqref="B5:B84" showDropDown="0" showInputMessage="0" showErrorMessage="0" allowBlank="1" promptTitle="Choix" prompt="Choisissez le type de tâche." type="list">
      <formula1>=Listes!$A$2:$A$12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5" customWidth="1" min="4" max="4"/>
    <col width="14" customWidth="1" min="5" max="5"/>
    <col width="14" customWidth="1" min="6" max="6"/>
    <col width="40" customWidth="1" min="7" max="7"/>
    <col width="22" customWidth="1" min="8" max="8"/>
  </cols>
  <sheetData>
    <row r="1">
      <c r="A1" s="1" t="inlineStr">
        <is>
          <t>Synthèse</t>
        </is>
      </c>
    </row>
    <row r="2">
      <c r="A2" s="2" t="inlineStr">
        <is>
          <t>Les heures d’écriture et les heures à reprendre, par personne et pour l’équipe.</t>
        </is>
      </c>
    </row>
    <row r="4" ht="34" customHeight="1">
      <c r="A4" s="14" t="inlineStr">
        <is>
          <t>Personne</t>
        </is>
      </c>
      <c r="B4" s="14" t="inlineStr">
        <is>
          <t>Minutes d’écriture par semaine</t>
        </is>
      </c>
      <c r="C4" s="14" t="inlineStr">
        <is>
          <t>Heures d’écriture par an</t>
        </is>
      </c>
      <c r="D4" s="14" t="inlineStr">
        <is>
          <t>Minutes à reprendre par semaine</t>
        </is>
      </c>
      <c r="E4" s="14" t="inlineStr">
        <is>
          <t>Heures à reprendre par an</t>
        </is>
      </c>
      <c r="F4" s="14" t="inlineStr">
        <is>
          <t>Valeur par an (€)</t>
        </is>
      </c>
      <c r="G4" s="14" t="inlineStr">
        <is>
          <t>Tâche à traiter le jour J</t>
        </is>
      </c>
      <c r="H4" s="14" t="inlineStr">
        <is>
          <t>Objectif d’une heure par semaine</t>
        </is>
      </c>
    </row>
    <row r="5">
      <c r="A5" s="7">
        <f>IF('Équipe'!A5="","",'Équipe'!A5)</f>
        <v/>
      </c>
      <c r="B5" s="15">
        <f>IF(A5="","",SUMIFS(Saisie!$F$5:$F$84,Saisie!$A$5:$A$84,A5))</f>
        <v/>
      </c>
      <c r="C5" s="16">
        <f>IF(A5="","",SUMIFS(Saisie!$G$5:$G$84,Saisie!$A$5:$A$84,A5))</f>
        <v/>
      </c>
      <c r="D5" s="15">
        <f>IF(A5="","",SUMIFS(Saisie!$I$5:$I$84,Saisie!$A$5:$A$84,A5))</f>
        <v/>
      </c>
      <c r="E5" s="16">
        <f>IF(A5="","",SUMIFS(Saisie!$J$5:$J$84,Saisie!$A$5:$A$84,A5))</f>
        <v/>
      </c>
      <c r="F5" s="18">
        <f>IF(A5="","",SUMIFS(Saisie!$K$5:$K$84,Saisie!$A$5:$A$84,A5))</f>
        <v/>
      </c>
      <c r="G5" s="7">
        <f>IF(A5="","",IF(_xlfn.MAXIFS(Saisie!$M$5:$M$84,Saisie!$A$5:$A$84,A5)=0,"En attente de la lecture d’Antoine",INDEX(Saisie!$B$5:$B$84,MATCH(_xlfn.MAXIFS(Saisie!$M$5:$M$84,Saisie!$A$5:$A$84,A5),Saisie!$M$5:$M$84,0))&amp;" : "&amp;INDEX(Saisie!$C$5:$C$84,MATCH(_xlfn.MAXIFS(Saisie!$M$5:$M$84,Saisie!$A$5:$A$84,A5),Saisie!$M$5:$M$84,0))))</f>
        <v/>
      </c>
      <c r="H5" s="7">
        <f>IF(OR(A5="",D5=0),"",IF(D5&gt;=60,"À portée","À creuser le jour J"))</f>
        <v/>
      </c>
    </row>
    <row r="6">
      <c r="A6" s="7">
        <f>IF('Équipe'!A6="","",'Équipe'!A6)</f>
        <v/>
      </c>
      <c r="B6" s="15">
        <f>IF(A6="","",SUMIFS(Saisie!$F$5:$F$84,Saisie!$A$5:$A$84,A6))</f>
        <v/>
      </c>
      <c r="C6" s="16">
        <f>IF(A6="","",SUMIFS(Saisie!$G$5:$G$84,Saisie!$A$5:$A$84,A6))</f>
        <v/>
      </c>
      <c r="D6" s="15">
        <f>IF(A6="","",SUMIFS(Saisie!$I$5:$I$84,Saisie!$A$5:$A$84,A6))</f>
        <v/>
      </c>
      <c r="E6" s="16">
        <f>IF(A6="","",SUMIFS(Saisie!$J$5:$J$84,Saisie!$A$5:$A$84,A6))</f>
        <v/>
      </c>
      <c r="F6" s="18">
        <f>IF(A6="","",SUMIFS(Saisie!$K$5:$K$84,Saisie!$A$5:$A$84,A6))</f>
        <v/>
      </c>
      <c r="G6" s="7">
        <f>IF(A6="","",IF(_xlfn.MAXIFS(Saisie!$M$5:$M$84,Saisie!$A$5:$A$84,A6)=0,"En attente de la lecture d’Antoine",INDEX(Saisie!$B$5:$B$84,MATCH(_xlfn.MAXIFS(Saisie!$M$5:$M$84,Saisie!$A$5:$A$84,A6),Saisie!$M$5:$M$84,0))&amp;" : "&amp;INDEX(Saisie!$C$5:$C$84,MATCH(_xlfn.MAXIFS(Saisie!$M$5:$M$84,Saisie!$A$5:$A$84,A6),Saisie!$M$5:$M$84,0))))</f>
        <v/>
      </c>
      <c r="H6" s="7">
        <f>IF(OR(A6="",D6=0),"",IF(D6&gt;=60,"À portée","À creuser le jour J"))</f>
        <v/>
      </c>
    </row>
    <row r="7">
      <c r="A7" s="7">
        <f>IF('Équipe'!A7="","",'Équipe'!A7)</f>
        <v/>
      </c>
      <c r="B7" s="15">
        <f>IF(A7="","",SUMIFS(Saisie!$F$5:$F$84,Saisie!$A$5:$A$84,A7))</f>
        <v/>
      </c>
      <c r="C7" s="16">
        <f>IF(A7="","",SUMIFS(Saisie!$G$5:$G$84,Saisie!$A$5:$A$84,A7))</f>
        <v/>
      </c>
      <c r="D7" s="15">
        <f>IF(A7="","",SUMIFS(Saisie!$I$5:$I$84,Saisie!$A$5:$A$84,A7))</f>
        <v/>
      </c>
      <c r="E7" s="16">
        <f>IF(A7="","",SUMIFS(Saisie!$J$5:$J$84,Saisie!$A$5:$A$84,A7))</f>
        <v/>
      </c>
      <c r="F7" s="18">
        <f>IF(A7="","",SUMIFS(Saisie!$K$5:$K$84,Saisie!$A$5:$A$84,A7))</f>
        <v/>
      </c>
      <c r="G7" s="7">
        <f>IF(A7="","",IF(_xlfn.MAXIFS(Saisie!$M$5:$M$84,Saisie!$A$5:$A$84,A7)=0,"En attente de la lecture d’Antoine",INDEX(Saisie!$B$5:$B$84,MATCH(_xlfn.MAXIFS(Saisie!$M$5:$M$84,Saisie!$A$5:$A$84,A7),Saisie!$M$5:$M$84,0))&amp;" : "&amp;INDEX(Saisie!$C$5:$C$84,MATCH(_xlfn.MAXIFS(Saisie!$M$5:$M$84,Saisie!$A$5:$A$84,A7),Saisie!$M$5:$M$84,0))))</f>
        <v/>
      </c>
      <c r="H7" s="7">
        <f>IF(OR(A7="",D7=0),"",IF(D7&gt;=60,"À portée","À creuser le jour J"))</f>
        <v/>
      </c>
    </row>
    <row r="8">
      <c r="A8" s="7">
        <f>IF('Équipe'!A8="","",'Équipe'!A8)</f>
        <v/>
      </c>
      <c r="B8" s="15">
        <f>IF(A8="","",SUMIFS(Saisie!$F$5:$F$84,Saisie!$A$5:$A$84,A8))</f>
        <v/>
      </c>
      <c r="C8" s="16">
        <f>IF(A8="","",SUMIFS(Saisie!$G$5:$G$84,Saisie!$A$5:$A$84,A8))</f>
        <v/>
      </c>
      <c r="D8" s="15">
        <f>IF(A8="","",SUMIFS(Saisie!$I$5:$I$84,Saisie!$A$5:$A$84,A8))</f>
        <v/>
      </c>
      <c r="E8" s="16">
        <f>IF(A8="","",SUMIFS(Saisie!$J$5:$J$84,Saisie!$A$5:$A$84,A8))</f>
        <v/>
      </c>
      <c r="F8" s="18">
        <f>IF(A8="","",SUMIFS(Saisie!$K$5:$K$84,Saisie!$A$5:$A$84,A8))</f>
        <v/>
      </c>
      <c r="G8" s="7">
        <f>IF(A8="","",IF(_xlfn.MAXIFS(Saisie!$M$5:$M$84,Saisie!$A$5:$A$84,A8)=0,"En attente de la lecture d’Antoine",INDEX(Saisie!$B$5:$B$84,MATCH(_xlfn.MAXIFS(Saisie!$M$5:$M$84,Saisie!$A$5:$A$84,A8),Saisie!$M$5:$M$84,0))&amp;" : "&amp;INDEX(Saisie!$C$5:$C$84,MATCH(_xlfn.MAXIFS(Saisie!$M$5:$M$84,Saisie!$A$5:$A$84,A8),Saisie!$M$5:$M$84,0))))</f>
        <v/>
      </c>
      <c r="H8" s="7">
        <f>IF(OR(A8="",D8=0),"",IF(D8&gt;=60,"À portée","À creuser le jour J"))</f>
        <v/>
      </c>
    </row>
    <row r="9">
      <c r="A9" s="7">
        <f>IF('Équipe'!A9="","",'Équipe'!A9)</f>
        <v/>
      </c>
      <c r="B9" s="15">
        <f>IF(A9="","",SUMIFS(Saisie!$F$5:$F$84,Saisie!$A$5:$A$84,A9))</f>
        <v/>
      </c>
      <c r="C9" s="16">
        <f>IF(A9="","",SUMIFS(Saisie!$G$5:$G$84,Saisie!$A$5:$A$84,A9))</f>
        <v/>
      </c>
      <c r="D9" s="15">
        <f>IF(A9="","",SUMIFS(Saisie!$I$5:$I$84,Saisie!$A$5:$A$84,A9))</f>
        <v/>
      </c>
      <c r="E9" s="16">
        <f>IF(A9="","",SUMIFS(Saisie!$J$5:$J$84,Saisie!$A$5:$A$84,A9))</f>
        <v/>
      </c>
      <c r="F9" s="18">
        <f>IF(A9="","",SUMIFS(Saisie!$K$5:$K$84,Saisie!$A$5:$A$84,A9))</f>
        <v/>
      </c>
      <c r="G9" s="7">
        <f>IF(A9="","",IF(_xlfn.MAXIFS(Saisie!$M$5:$M$84,Saisie!$A$5:$A$84,A9)=0,"En attente de la lecture d’Antoine",INDEX(Saisie!$B$5:$B$84,MATCH(_xlfn.MAXIFS(Saisie!$M$5:$M$84,Saisie!$A$5:$A$84,A9),Saisie!$M$5:$M$84,0))&amp;" : "&amp;INDEX(Saisie!$C$5:$C$84,MATCH(_xlfn.MAXIFS(Saisie!$M$5:$M$84,Saisie!$A$5:$A$84,A9),Saisie!$M$5:$M$84,0))))</f>
        <v/>
      </c>
      <c r="H9" s="7">
        <f>IF(OR(A9="",D9=0),"",IF(D9&gt;=60,"À portée","À creuser le jour J"))</f>
        <v/>
      </c>
    </row>
    <row r="10">
      <c r="A10" s="7">
        <f>IF('Équipe'!A10="","",'Équipe'!A10)</f>
        <v/>
      </c>
      <c r="B10" s="15">
        <f>IF(A10="","",SUMIFS(Saisie!$F$5:$F$84,Saisie!$A$5:$A$84,A10))</f>
        <v/>
      </c>
      <c r="C10" s="16">
        <f>IF(A10="","",SUMIFS(Saisie!$G$5:$G$84,Saisie!$A$5:$A$84,A10))</f>
        <v/>
      </c>
      <c r="D10" s="15">
        <f>IF(A10="","",SUMIFS(Saisie!$I$5:$I$84,Saisie!$A$5:$A$84,A10))</f>
        <v/>
      </c>
      <c r="E10" s="16">
        <f>IF(A10="","",SUMIFS(Saisie!$J$5:$J$84,Saisie!$A$5:$A$84,A10))</f>
        <v/>
      </c>
      <c r="F10" s="18">
        <f>IF(A10="","",SUMIFS(Saisie!$K$5:$K$84,Saisie!$A$5:$A$84,A10))</f>
        <v/>
      </c>
      <c r="G10" s="7">
        <f>IF(A10="","",IF(_xlfn.MAXIFS(Saisie!$M$5:$M$84,Saisie!$A$5:$A$84,A10)=0,"En attente de la lecture d’Antoine",INDEX(Saisie!$B$5:$B$84,MATCH(_xlfn.MAXIFS(Saisie!$M$5:$M$84,Saisie!$A$5:$A$84,A10),Saisie!$M$5:$M$84,0))&amp;" : "&amp;INDEX(Saisie!$C$5:$C$84,MATCH(_xlfn.MAXIFS(Saisie!$M$5:$M$84,Saisie!$A$5:$A$84,A10),Saisie!$M$5:$M$84,0))))</f>
        <v/>
      </c>
      <c r="H10" s="7">
        <f>IF(OR(A10="",D10=0),"",IF(D10&gt;=60,"À portée","À creuser le jour J"))</f>
        <v/>
      </c>
    </row>
    <row r="11">
      <c r="A11" s="7">
        <f>IF('Équipe'!A11="","",'Équipe'!A11)</f>
        <v/>
      </c>
      <c r="B11" s="15">
        <f>IF(A11="","",SUMIFS(Saisie!$F$5:$F$84,Saisie!$A$5:$A$84,A11))</f>
        <v/>
      </c>
      <c r="C11" s="16">
        <f>IF(A11="","",SUMIFS(Saisie!$G$5:$G$84,Saisie!$A$5:$A$84,A11))</f>
        <v/>
      </c>
      <c r="D11" s="15">
        <f>IF(A11="","",SUMIFS(Saisie!$I$5:$I$84,Saisie!$A$5:$A$84,A11))</f>
        <v/>
      </c>
      <c r="E11" s="16">
        <f>IF(A11="","",SUMIFS(Saisie!$J$5:$J$84,Saisie!$A$5:$A$84,A11))</f>
        <v/>
      </c>
      <c r="F11" s="18">
        <f>IF(A11="","",SUMIFS(Saisie!$K$5:$K$84,Saisie!$A$5:$A$84,A11))</f>
        <v/>
      </c>
      <c r="G11" s="7">
        <f>IF(A11="","",IF(_xlfn.MAXIFS(Saisie!$M$5:$M$84,Saisie!$A$5:$A$84,A11)=0,"En attente de la lecture d’Antoine",INDEX(Saisie!$B$5:$B$84,MATCH(_xlfn.MAXIFS(Saisie!$M$5:$M$84,Saisie!$A$5:$A$84,A11),Saisie!$M$5:$M$84,0))&amp;" : "&amp;INDEX(Saisie!$C$5:$C$84,MATCH(_xlfn.MAXIFS(Saisie!$M$5:$M$84,Saisie!$A$5:$A$84,A11),Saisie!$M$5:$M$84,0))))</f>
        <v/>
      </c>
      <c r="H11" s="7">
        <f>IF(OR(A11="",D11=0),"",IF(D11&gt;=60,"À portée","À creuser le jour J"))</f>
        <v/>
      </c>
    </row>
    <row r="12">
      <c r="A12" s="7">
        <f>IF('Équipe'!A12="","",'Équipe'!A12)</f>
        <v/>
      </c>
      <c r="B12" s="15">
        <f>IF(A12="","",SUMIFS(Saisie!$F$5:$F$84,Saisie!$A$5:$A$84,A12))</f>
        <v/>
      </c>
      <c r="C12" s="16">
        <f>IF(A12="","",SUMIFS(Saisie!$G$5:$G$84,Saisie!$A$5:$A$84,A12))</f>
        <v/>
      </c>
      <c r="D12" s="15">
        <f>IF(A12="","",SUMIFS(Saisie!$I$5:$I$84,Saisie!$A$5:$A$84,A12))</f>
        <v/>
      </c>
      <c r="E12" s="16">
        <f>IF(A12="","",SUMIFS(Saisie!$J$5:$J$84,Saisie!$A$5:$A$84,A12))</f>
        <v/>
      </c>
      <c r="F12" s="18">
        <f>IF(A12="","",SUMIFS(Saisie!$K$5:$K$84,Saisie!$A$5:$A$84,A12))</f>
        <v/>
      </c>
      <c r="G12" s="7">
        <f>IF(A12="","",IF(_xlfn.MAXIFS(Saisie!$M$5:$M$84,Saisie!$A$5:$A$84,A12)=0,"En attente de la lecture d’Antoine",INDEX(Saisie!$B$5:$B$84,MATCH(_xlfn.MAXIFS(Saisie!$M$5:$M$84,Saisie!$A$5:$A$84,A12),Saisie!$M$5:$M$84,0))&amp;" : "&amp;INDEX(Saisie!$C$5:$C$84,MATCH(_xlfn.MAXIFS(Saisie!$M$5:$M$84,Saisie!$A$5:$A$84,A12),Saisie!$M$5:$M$84,0))))</f>
        <v/>
      </c>
      <c r="H12" s="7">
        <f>IF(OR(A12="",D12=0),"",IF(D12&gt;=60,"À portée","À creuser le jour J"))</f>
        <v/>
      </c>
    </row>
    <row r="13">
      <c r="A13" s="7">
        <f>IF('Équipe'!A13="","",'Équipe'!A13)</f>
        <v/>
      </c>
      <c r="B13" s="15">
        <f>IF(A13="","",SUMIFS(Saisie!$F$5:$F$84,Saisie!$A$5:$A$84,A13))</f>
        <v/>
      </c>
      <c r="C13" s="16">
        <f>IF(A13="","",SUMIFS(Saisie!$G$5:$G$84,Saisie!$A$5:$A$84,A13))</f>
        <v/>
      </c>
      <c r="D13" s="15">
        <f>IF(A13="","",SUMIFS(Saisie!$I$5:$I$84,Saisie!$A$5:$A$84,A13))</f>
        <v/>
      </c>
      <c r="E13" s="16">
        <f>IF(A13="","",SUMIFS(Saisie!$J$5:$J$84,Saisie!$A$5:$A$84,A13))</f>
        <v/>
      </c>
      <c r="F13" s="18">
        <f>IF(A13="","",SUMIFS(Saisie!$K$5:$K$84,Saisie!$A$5:$A$84,A13))</f>
        <v/>
      </c>
      <c r="G13" s="7">
        <f>IF(A13="","",IF(_xlfn.MAXIFS(Saisie!$M$5:$M$84,Saisie!$A$5:$A$84,A13)=0,"En attente de la lecture d’Antoine",INDEX(Saisie!$B$5:$B$84,MATCH(_xlfn.MAXIFS(Saisie!$M$5:$M$84,Saisie!$A$5:$A$84,A13),Saisie!$M$5:$M$84,0))&amp;" : "&amp;INDEX(Saisie!$C$5:$C$84,MATCH(_xlfn.MAXIFS(Saisie!$M$5:$M$84,Saisie!$A$5:$A$84,A13),Saisie!$M$5:$M$84,0))))</f>
        <v/>
      </c>
      <c r="H13" s="7">
        <f>IF(OR(A13="",D13=0),"",IF(D13&gt;=60,"À portée","À creuser le jour J"))</f>
        <v/>
      </c>
    </row>
    <row r="14">
      <c r="A14" s="7">
        <f>IF('Équipe'!A14="","",'Équipe'!A14)</f>
        <v/>
      </c>
      <c r="B14" s="15">
        <f>IF(A14="","",SUMIFS(Saisie!$F$5:$F$84,Saisie!$A$5:$A$84,A14))</f>
        <v/>
      </c>
      <c r="C14" s="16">
        <f>IF(A14="","",SUMIFS(Saisie!$G$5:$G$84,Saisie!$A$5:$A$84,A14))</f>
        <v/>
      </c>
      <c r="D14" s="15">
        <f>IF(A14="","",SUMIFS(Saisie!$I$5:$I$84,Saisie!$A$5:$A$84,A14))</f>
        <v/>
      </c>
      <c r="E14" s="16">
        <f>IF(A14="","",SUMIFS(Saisie!$J$5:$J$84,Saisie!$A$5:$A$84,A14))</f>
        <v/>
      </c>
      <c r="F14" s="18">
        <f>IF(A14="","",SUMIFS(Saisie!$K$5:$K$84,Saisie!$A$5:$A$84,A14))</f>
        <v/>
      </c>
      <c r="G14" s="7">
        <f>IF(A14="","",IF(_xlfn.MAXIFS(Saisie!$M$5:$M$84,Saisie!$A$5:$A$84,A14)=0,"En attente de la lecture d’Antoine",INDEX(Saisie!$B$5:$B$84,MATCH(_xlfn.MAXIFS(Saisie!$M$5:$M$84,Saisie!$A$5:$A$84,A14),Saisie!$M$5:$M$84,0))&amp;" : "&amp;INDEX(Saisie!$C$5:$C$84,MATCH(_xlfn.MAXIFS(Saisie!$M$5:$M$84,Saisie!$A$5:$A$84,A14),Saisie!$M$5:$M$84,0))))</f>
        <v/>
      </c>
      <c r="H14" s="7">
        <f>IF(OR(A14="",D14=0),"",IF(D14&gt;=60,"À portée","À creuser le jour J"))</f>
        <v/>
      </c>
    </row>
    <row r="15">
      <c r="A15" s="8" t="inlineStr">
        <is>
          <t>Équipe</t>
        </is>
      </c>
      <c r="B15" s="20">
        <f>SUM(B5:B14)</f>
        <v/>
      </c>
      <c r="C15" s="21">
        <f>SUM(C5:C14)</f>
        <v/>
      </c>
      <c r="D15" s="20">
        <f>SUM(D5:D14)</f>
        <v/>
      </c>
      <c r="E15" s="21">
        <f>SUM(E5:E14)</f>
        <v/>
      </c>
      <c r="F15" s="22">
        <f>SUM(F5:F14)</f>
        <v/>
      </c>
    </row>
    <row r="17" ht="32" customHeight="1">
      <c r="A17" s="11" t="inlineStr">
        <is>
          <t>Lecture : « Minutes à reprendre par semaine » compare chaque personne à la garantie d’une heure par semaine. La valeur par an multiplie les heures à reprendre par le coût de l’heure.</t>
        </is>
      </c>
    </row>
  </sheetData>
  <mergeCells count="1"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2026-10-12T11:09:04Z</dcterms:created>
  <dcterms:modified xsi:type="dcterms:W3CDTF">2026-10-12T11:09:04Z</dcterms:modified>
</cp:coreProperties>
</file>